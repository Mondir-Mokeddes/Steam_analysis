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tables/table3.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hidePivotFieldList="1" defaultThemeVersion="166925"/>
  <mc:AlternateContent xmlns:mc="http://schemas.openxmlformats.org/markup-compatibility/2006">
    <mc:Choice Requires="x15">
      <x15ac:absPath xmlns:x15ac="http://schemas.microsoft.com/office/spreadsheetml/2010/11/ac" url="D:\working\waccache\LN2PEPF0000C0E0\EXCELCNV\3df90fdc-8270-4f86-a737-56adbfce4afe\"/>
    </mc:Choice>
  </mc:AlternateContent>
  <xr:revisionPtr revIDLastSave="0" documentId="8_{15D6E0B7-D3A8-4AA8-A148-87CE5C08A176}" xr6:coauthVersionLast="47" xr6:coauthVersionMax="47" xr10:uidLastSave="{00000000-0000-0000-0000-000000000000}"/>
  <bookViews>
    <workbookView xWindow="-60" yWindow="-60" windowWidth="15480" windowHeight="11640" xr2:uid="{330BFAF6-69F7-4C14-9E8E-8CDFD8BAD8DF}"/>
  </bookViews>
  <sheets>
    <sheet name="Readme" sheetId="6" r:id="rId1"/>
    <sheet name="raw data" sheetId="1" r:id="rId2"/>
    <sheet name="Analysis and Pivot Tables 1" sheetId="4" r:id="rId3"/>
    <sheet name="Analysis and Pivot Tables 2" sheetId="5" r:id="rId4"/>
    <sheet name="Conclusions" sheetId="7" r:id="rId5"/>
  </sheets>
  <calcPr calcId="191028"/>
  <pivotCaches>
    <pivotCache cacheId="91"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alcChain>
</file>

<file path=xl/sharedStrings.xml><?xml version="1.0" encoding="utf-8"?>
<sst xmlns="http://schemas.openxmlformats.org/spreadsheetml/2006/main" count="1412" uniqueCount="752">
  <si>
    <t>Analysis on titles in my steam library</t>
  </si>
  <si>
    <t>The original intent of this project was to find information on which games currently in my steam library would be the easiest and the quickest to 100%. This eventually morphed into a project where I aimed to compare title popularity and length to various factors, such as achievement count and ratings.</t>
  </si>
  <si>
    <t>Data Description</t>
  </si>
  <si>
    <t>This spreadsheet contains the initial dataset of the project. The questions it aims to answer were ultimately "Does the time to 100% a game increase with achievement count", "does the time to beat a game increase with rating" and "are more people reviewing(and thus buying) games overtime?". Together, they paint a picture of what variables can be used to determine how long a game takes to 100%.</t>
  </si>
  <si>
    <t>The data found that the time to 100% a game increases with achievements up to a certain point, where it seems to likely decrease. There is a likely correlation before positively reviewed games and the time required to beat them, and unfortunately no conclusions can be drawn using this dataset about if more people are reviewing games over time.</t>
  </si>
  <si>
    <t>The obvious limititation to this data is that the sample size is quite small. As it only covers my steam library, there are only 272 titles in the database. Regardless, I feel as if the conclusions drawn here are accurate, as the data seems to show a strong correlation.</t>
  </si>
  <si>
    <t>Additional notes</t>
  </si>
  <si>
    <t>The dataset had already been mostly sanitised, so the purpose of ExCel was visualisation and to draw concluions</t>
  </si>
  <si>
    <t>Further information on other aspects of the project can be found in the Readme.md.</t>
  </si>
  <si>
    <t>Title</t>
  </si>
  <si>
    <t>Steam_id</t>
  </si>
  <si>
    <t>has_achievements</t>
  </si>
  <si>
    <t>completed_achievements</t>
  </si>
  <si>
    <t>total_achievements</t>
  </si>
  <si>
    <t>English_rating</t>
  </si>
  <si>
    <t>Date_published</t>
  </si>
  <si>
    <t>Total_number_of_reviews</t>
  </si>
  <si>
    <t>Publisher</t>
  </si>
  <si>
    <t>keys</t>
  </si>
  <si>
    <t>count_main</t>
  </si>
  <si>
    <t>time_main</t>
  </si>
  <si>
    <t>count_complete</t>
  </si>
  <si>
    <t>time_complete</t>
  </si>
  <si>
    <t>Corregated_dates</t>
  </si>
  <si>
    <t>Stand_in_date</t>
  </si>
  <si>
    <t>Genres</t>
  </si>
  <si>
    <t>mr.jezko</t>
  </si>
  <si>
    <t>Y</t>
  </si>
  <si>
    <t>Mixed</t>
  </si>
  <si>
    <t>EasyGames</t>
  </si>
  <si>
    <t>['Adventure', 'Indie', 'Casual']</t>
  </si>
  <si>
    <t>dead rising 4</t>
  </si>
  <si>
    <t>Capcom</t>
  </si>
  <si>
    <t>['Zombies', 'Open World', 'Action', 'Multiplayer', 'Co-op', 'Violent', 'Gore', 'Survival', 'Comedy', 'Horror', 'Third Person', 'Funny', 'Nudity', 'Heist', 'Online Co-Op', 'Singleplayer', 'Survival Horror', 'Memes', 'Sandbox', 'Casual']</t>
  </si>
  <si>
    <t>kim jong-boom</t>
  </si>
  <si>
    <t>azimuth team</t>
  </si>
  <si>
    <t>['Casual', 'Indie']</t>
  </si>
  <si>
    <t>battle of frigates</t>
  </si>
  <si>
    <t>Conglomerate 5</t>
  </si>
  <si>
    <t>['Casual', 'Indie', 'Action', 'Adventure', 'Simulation', 'Pirates', '2D', 'Old School', 'Retro', 'Top-Down Shooter', 'Top-Down', 'Shooter']</t>
  </si>
  <si>
    <t>agents of mayhem</t>
  </si>
  <si>
    <t>Deep Silver</t>
  </si>
  <si>
    <t>['Action', 'Open World', 'Third Person', 'Singleplayer', 'Comedy', 'Funny', 'Third-Person Shooter', 'Shooter', 'Sexual Content', 'Adventure', 'Superhero', 'Female Protagonist', 'Violent', 'Sci-fi', 'Memes', 'Sandbox', 'Cyberpunk', 'Atmospheric', 'Multiplayer', 'Controller']</t>
  </si>
  <si>
    <t>thief</t>
  </si>
  <si>
    <t>Eidos Interactive Corp.</t>
  </si>
  <si>
    <t>['Stealth', 'Action', 'First-Person', 'Adventure', 'Singleplayer', 'Dark', 'Reboot', 'Steampunk', 'Atmospheric', 'Horror', 'Parkour', 'Assassins', 'Open World', 'Heist', 'Medieval', 'Nudity', 'RPG', 'Fantasy', 'FPS', 'Remake']</t>
  </si>
  <si>
    <t>gods will be watching</t>
  </si>
  <si>
    <t>Devolver Digital</t>
  </si>
  <si>
    <t>['Indie', 'Pixel Graphics', 'Point &amp; Click', 'Sci-fi', 'Story Rich', 'Adventure', 'Difficult', 'Dark', 'Choices Matter', 'Singleplayer', 'Thriller', 'Puzzle', 'Atmospheric', 'Strategy', 'Survival', 'Resource Management', '2D', 'Great Soundtrack', 'Gore', 'Horror']</t>
  </si>
  <si>
    <t>no lights</t>
  </si>
  <si>
    <t>['Action', 'Pixel Graphics', 'Indie']</t>
  </si>
  <si>
    <t>think of the children</t>
  </si>
  <si>
    <t>Surprise Attack</t>
  </si>
  <si>
    <t>['Action', '4 Player Local', 'Co-op', 'Local Co-Op', 'Multiplayer', 'Local Multiplayer', 'Funny', 'Indie', 'Adventure', 'Fast-Paced', 'Difficult']</t>
  </si>
  <si>
    <t>alien spidy</t>
  </si>
  <si>
    <t>Kasedo Games</t>
  </si>
  <si>
    <t>['Indie', 'Action', 'Adventure', 'Platformer', 'Singleplayer']</t>
  </si>
  <si>
    <t>street fighter 30th anniversary collection</t>
  </si>
  <si>
    <t>Capcom U.S.A, Inc.</t>
  </si>
  <si>
    <t>['Fighting', '2D Fighter', 'Action', 'Arcade', 'Classic', 'Multiplayer', 'Retro', '2D', 'Local Multiplayer', 'Anime', 'Singleplayer', 'Pixel Graphics', 'Nudity', "1990's", '1980s', 'Horror']</t>
  </si>
  <si>
    <t>the swindle</t>
  </si>
  <si>
    <t>Size Five Games</t>
  </si>
  <si>
    <t>['Crime', 'Indie', 'Action', 'Stealth', 'Heist', 'Steampunk', 'RPG', 'Platformer', 'Action Roguelike', '2D', 'Roguelike', 'Procedural Generation', 'Roguelite', 'Great Soundtrack', 'Cyberpunk']</t>
  </si>
  <si>
    <t>a fistful of gun</t>
  </si>
  <si>
    <t>['Action', 'Indie', 'Western', 'Pixel Graphics', 'Bullet Hell', 'Local Co-Op', 'Co-op', 'Top-Down Shooter', 'Arena Shooter', 'Twin Stick Shooter', '2D', 'Multiplayer', 'Local Multiplayer', 'Top-Down', 'Difficult']</t>
  </si>
  <si>
    <t>this is the police 2</t>
  </si>
  <si>
    <t>THQ Nordic</t>
  </si>
  <si>
    <t>['Strategy', 'Story Rich', 'Singleplayer', 'Turn-Based', 'Management', 'Indie', 'Adventure', 'Villain Protagonist', 'Crime', 'Choices Matter', 'Atmospheric', 'Simulation', 'Great Soundtrack', 'Turn-Based Strategy', 'Turn-Based Tactics', 'Detective', 'Noir', 'Tactical', 'Turn-Based Combat']</t>
  </si>
  <si>
    <t>the suicide of rachel foster</t>
  </si>
  <si>
    <t>Daedalic Entertainment</t>
  </si>
  <si>
    <t>['Walking Simulator', 'Mystery', 'Atmospheric', 'Adventure', 'Thriller', 'Exploration', 'Story Rich', 'Dark', 'Female Protagonist', 'Singleplayer', 'First-Person', 'Short', 'Psychological', 'Open World', 'Realistic', "1990's", 'Casual', 'Indie', 'Horror', 'Great Soundtrack']</t>
  </si>
  <si>
    <t>deus ex invisible war</t>
  </si>
  <si>
    <t>N</t>
  </si>
  <si>
    <t>['Cyberpunk', 'Action', 'FPS', 'RPG', 'Sci-fi', 'Stealth', 'Immersive Sim', 'Singleplayer', 'Transhumanism', 'First-Person', 'Dystopian', 'Female Protagonist', 'Shooter', 'Story Rich', 'Atmospheric', 'Classic', 'Conspiracy', 'Action RPG', 'Adventure', 'Great Soundtrack']</t>
  </si>
  <si>
    <t>march of the eagles</t>
  </si>
  <si>
    <t>Paradox Interactive</t>
  </si>
  <si>
    <t>['Strategy', 'Simulation', 'Grand Strategy', 'Historical', 'Real-Time with Pause', 'Sandbox']</t>
  </si>
  <si>
    <t>sengoku</t>
  </si>
  <si>
    <t>['Strategy', 'Simulation', 'Grand Strategy', 'Historical', 'RPG', 'Medieval', 'Real-Time with Pause', 'Multiplayer', 'Singleplayer', 'Samurai']</t>
  </si>
  <si>
    <t>silent hill homecoming</t>
  </si>
  <si>
    <t>KONAMI</t>
  </si>
  <si>
    <t>['Horror', 'Adventure', 'Survival Horror', 'Psychological Horror', 'Gore', 'Third Person', 'Story Rich', 'Atmospheric', 'Violent', 'Singleplayer', 'Great Soundtrack', 'Dark', 'Survival', 'Action', 'Multiplayer', 'Third-Person Shooter', 'Lovecraftian', 'Controller', 'RPG', 'Puzzle']</t>
  </si>
  <si>
    <t>unplagued</t>
  </si>
  <si>
    <t>Euphoric Brothers</t>
  </si>
  <si>
    <t>['Online Co-Op', 'Horror', 'Multiplayer', 'First-Person', 'Exploration', 'Psychological Horror', 'Funny', 'Procedural Generation', 'Co-op', 'Survival Horror', 'Atmospheric', 'Dungeon Crawler', 'Adventure', '3D', 'Action', 'Action-Adventure', 'Early Access', 'Medieval', 'Casual', 'Singleplayer']</t>
  </si>
  <si>
    <t>deus ex the fall</t>
  </si>
  <si>
    <t>Mostly Negative</t>
  </si>
  <si>
    <t>['Cyberpunk', 'RPG', 'Action', 'Stealth', 'Sci-fi', 'Singleplayer', 'Adventure', 'First-Person', 'FPS', 'Episodic', 'Shooter', 'Dystopian', 'Transhumanism', 'Short', 'Atmospheric', 'Futuristic', 'Great Soundtrack', 'Action RPG', 'Story Rich', 'Immersive Sim']</t>
  </si>
  <si>
    <t>aeve:zero gravity</t>
  </si>
  <si>
    <t>DIG Games</t>
  </si>
  <si>
    <t>['Action', 'Indie']</t>
  </si>
  <si>
    <t>territory idle</t>
  </si>
  <si>
    <t>Mostly Positive</t>
  </si>
  <si>
    <t>Aleksandr Golovkin</t>
  </si>
  <si>
    <t>['Incremental', 'Idler', 'Free to Play', 'Strategy', 'Indie', 'Singleplayer', 'Retro', 'Pixel Graphics', 'Early Access', '2D']</t>
  </si>
  <si>
    <t>war thunder</t>
  </si>
  <si>
    <t>Gaijin Network Ltd</t>
  </si>
  <si>
    <t>['Free to Play', 'Vehicular Combat', 'Simulation', 'Action', 'Combat', 'Flight', 'World War II', 'VR', 'War', 'Military', 'Tanks', 'Multiplayer', 'Naval Combat', 'Massively Multiplayer', 'Modern', 'Cold War', 'Shooter', 'Realistic', 'Third Person', 'Third-Person Shooter']</t>
  </si>
  <si>
    <t xml:space="preserve">deus ex mankind divided </t>
  </si>
  <si>
    <t>['Cyberpunk', 'Stealth', 'RPG', 'Sci-fi', 'Story Rich', 'Action', 'Atmospheric', 'Singleplayer', 'Immersive Sim', 'Futuristic', 'First-Person', 'FPS', 'Great Soundtrack', 'Open World', 'Shooter', 'Conspiracy', 'Dystopian', 'Transhumanism', 'Adventure', 'Third Person']</t>
  </si>
  <si>
    <t>wolfenstein ii the new colossus</t>
  </si>
  <si>
    <t>Bethesda Softworks</t>
  </si>
  <si>
    <t>['FPS', 'Action', 'Gore', 'Singleplayer', 'Alternate History', 'Violent', 'First-Person', 'Shooter', 'World War II', 'Story Rich', 'Nudity', 'Stealth', 'Sci-fi', 'Atmospheric', 'Comedy', 'Dystopian', 'Adventure', 'Great Soundtrack', 'Open World', 'Multiplayer']</t>
  </si>
  <si>
    <t>guntouchables</t>
  </si>
  <si>
    <t>Ghost Ship Publishing</t>
  </si>
  <si>
    <t>['Action Roguelike', 'Multiplayer', 'Roguelite', 'Post-apocalyptic', 'Online Co-Op', 'Zombies', 'Co-op', 'Replay Value', 'Difficult', 'PvE', 'Arena Shooter', 'Bullet Hell', 'Indie', 'Singleplayer', 'Survival Horror', 'Gore', 'Comedy', 'Action', 'Survival', 'Dark']</t>
  </si>
  <si>
    <t>sniper elite 3</t>
  </si>
  <si>
    <t>Rebellion</t>
  </si>
  <si>
    <t>['Sniper', 'Action', 'Stealth', 'Multiplayer', 'World War II', 'Co-op', 'Shooter', 'Adventure', 'Third-Person Shooter', 'Singleplayer', 'Tactical', 'War', 'Third Person', 'Gore', 'Online Co-Op', 'Open World', 'FPS', 'Strategy', 'Atmospheric', 'Simulation']</t>
  </si>
  <si>
    <t>speed brawl</t>
  </si>
  <si>
    <t>Double Stallion</t>
  </si>
  <si>
    <t>['Co-op', 'Female Protagonist', 'Online Co-Op', 'Spectacle fighter', 'Co-op Campaign', 'Local Co-Op', 'Fast-Paced', "Beat 'em up", 'Side Scroller', 'Local Multiplayer', 'Character Customization', 'Anime', 'Indie', 'Combat', 'Steampunk', 'Multiplayer', 'Fighting', '2D Platformer', 'Action', 'Singleplayer']</t>
  </si>
  <si>
    <t>the bard's tale iv director's cut</t>
  </si>
  <si>
    <t>inXile Entertainment</t>
  </si>
  <si>
    <t>['RPG', 'Turn-Based', 'Dungeon Crawler', 'Party-Based RPG', 'First-Person', 'Puzzle', 'Fantasy', 'CRPG', 'Singleplayer', 'Turn-Based Combat', 'Character Customization', 'Adventure']</t>
  </si>
  <si>
    <t>bioshock 2 remastered</t>
  </si>
  <si>
    <t>2K</t>
  </si>
  <si>
    <t>['FPS', 'Action', 'Singleplayer', 'Story Rich', 'Atmospheric', 'Horror', 'First-Person', 'Shooter', 'Dystopian', 'Sci-fi', 'RPG', 'Steampunk', 'Underwater', 'Adventure', 'Dark', 'Great Soundtrack', 'Alternate History', 'Immersive Sim', 'Remake', 'Multiplayer']</t>
  </si>
  <si>
    <t>mega man x legacy collection</t>
  </si>
  <si>
    <t>CAPCOM CO., LTD</t>
  </si>
  <si>
    <t>['Action', 'Platformer', 'Classic', '2D', 'Retro', 'Great Soundtrack', 'Robots', 'Side Scroller', 'Singleplayer', 'Difficult', 'Anime', "1990's", 'Sci-fi', 'Shooter', 'Pixel Graphics', '2D Platformer', 'Story Rich', 'Metroidvania']</t>
  </si>
  <si>
    <t>darksiders ii deathinitive edition</t>
  </si>
  <si>
    <t>['Action', 'Hack and Slash', 'Adventure', 'RPG', 'Open World', 'Singleplayer', 'Third Person', 'Fantasy', 'Puzzle', 'Story Rich', 'Great Soundtrack', 'Action RPG', 'Dark Fantasy', 'Loot', 'Parkour', 'Spectacle fighter', 'Gore', 'Controller', 'Souls-like', 'Metroidvania']</t>
  </si>
  <si>
    <t>resident evil revelations</t>
  </si>
  <si>
    <t>['Horror', 'Action', 'Zombies', 'Survival Horror', 'Third-Person Shooter', 'Adventure', 'Co-op', 'Female Protagonist', 'Third Person', 'Singleplayer', 'Online Co-Op', 'Multiplayer', 'Survival', 'Atmospheric', 'Shooter', 'Gore', 'Sci-fi', 'Great Soundtrack', 'Story Rich', 'Controller']</t>
  </si>
  <si>
    <t>resident evil 0</t>
  </si>
  <si>
    <t>CAPCOM Co., Ltd.</t>
  </si>
  <si>
    <t>['Horror', 'Zombies', 'Survival Horror', 'Adventure', 'Classic', 'Action', 'Singleplayer', 'Remake', 'Third Person', 'Atmospheric', 'Survival', 'Female Protagonist', 'Puzzle', 'Story Rich', 'Difficult', 'Gore', 'Third-Person Shooter', 'Multiplayer', 'Great Soundtrack', 'Shooter']</t>
  </si>
  <si>
    <t>resident evil revelations 2</t>
  </si>
  <si>
    <t>['Zombies', 'Horror', 'Multiplayer', 'Survival Horror', 'Action', 'Co-op', 'Adventure', 'Third-Person Shooter', 'Survival', 'Female Protagonist', 'Singleplayer', 'Local Co-Op', 'Gore', 'Third Person', 'Episodic', 'Atmospheric', 'Online Co-Op', 'Story Rich', 'Shooter', 'Action RPG']</t>
  </si>
  <si>
    <t>satellite reign</t>
  </si>
  <si>
    <t>5 Lives Studios</t>
  </si>
  <si>
    <t>['Cyberpunk', 'Strategy', 'Action', 'Sci-fi', 'Indie', 'Tactical', 'Real-Time', 'Stealth', 'Open World', 'Co-op', 'Isometric', 'Top-Down', 'Class-Based', 'Singleplayer', 'RPG', 'RTS', 'Multiplayer', 'Atmospheric', 'Great Soundtrack', 'Real Time Tactics']</t>
  </si>
  <si>
    <t>okhlos omega</t>
  </si>
  <si>
    <t>['Action Roguelike', 'Action', 'Indie', 'Comedy', 'Mythology', 'Singleplayer', 'Roguelike', '2.5D', 'Strategy', 'Arcade', 'Pixel Graphics', 'Roguelite', 'Procedural Generation', 'Historical', 'Violent', 'Difficult', 'Retro', 'Perma Death', 'Real Time Tactics', 'Funny']</t>
  </si>
  <si>
    <t>flinthook</t>
  </si>
  <si>
    <t>Tribute Games Inc.</t>
  </si>
  <si>
    <t>['Action Roguelike', 'Indie', 'Action', 'Adventure', 'Pixel Graphics', 'Roguelite', 'Platformer', 'Roguelike', '2D', 'Singleplayer', 'Difficult', 'Loot', '2D Platformer', 'Pirates', 'Great Soundtrack', 'Side Scroller', 'Colorful', 'Replay Value', 'Procedural Generation', 'Metroidvania']</t>
  </si>
  <si>
    <t>initial drift online</t>
  </si>
  <si>
    <t>RewindApp</t>
  </si>
  <si>
    <t>['Racing', 'Open World', 'Immersive Sim', 'Combat Racing', 'Driving', 'Life Sim', 'Physics', 'PvP', 'Automobile Sim', 'MMORPG', 'First-Person', 'Action', 'Third Person', 'Relaxing', 'Simulation', 'Anime', 'Multiplayer', 'Atmospheric', 'Massively Multiplayer', "1990's"]</t>
  </si>
  <si>
    <t>final fantasy vii</t>
  </si>
  <si>
    <t>Square Enix</t>
  </si>
  <si>
    <t>['RPG', 'Adventure', 'Strategy', 'JRPG', 'Party-Based RPG', 'Exploration', "1990's", 'Cyberpunk', 'Fantasy', 'Dystopian', 'Retro', 'Magic', 'Atmospheric', 'Singleplayer', 'Story Rich', 'Sci-fi', 'Turn-Based', 'Great Soundtrack']</t>
  </si>
  <si>
    <t>despotism 3k</t>
  </si>
  <si>
    <t>Konfa Games</t>
  </si>
  <si>
    <t>['Strategy', 'Indie', 'Dark Humor', 'Difficult', 'Pixel Graphics', '2D', 'Simulation', 'Sexual Content', 'Singleplayer', 'Replay Value', 'Perma Death', 'Roguelite', 'Roguelike', 'Resource Management', 'Violent', 'Post-apocalyptic', 'Villain Protagonist', 'Management', 'Cyberpunk', 'Great Soundtrack']</t>
  </si>
  <si>
    <t>salt</t>
  </si>
  <si>
    <t>Lavaboots Studios</t>
  </si>
  <si>
    <t>['Open World Survival Craft', 'Open World', 'Survival', 'Adventure', 'Crafting', 'Exploration', 'Pirates', 'Multiplayer', 'Sandbox', 'First-Person', 'Singleplayer', 'Indie', 'RPG', 'Action', 'Sailing', 'Naval', 'Procedural Generation', 'Early Access', 'Atmospheric', 'Walking Simulator']</t>
  </si>
  <si>
    <t>rise of industry</t>
  </si>
  <si>
    <t>['Management', 'Strategy', 'Economy', 'Simulation', 'City Builder', 'Resource Management', 'Indie', 'Base Building', 'Trading', 'Building', 'Singleplayer', 'Sandbox', 'Automation', 'Isometric', 'Capitalism', 'RTS', 'Transportation', 'Level Editor', 'Trains', 'Farming']</t>
  </si>
  <si>
    <t>quest of dungeons</t>
  </si>
  <si>
    <t>David Amador</t>
  </si>
  <si>
    <t>['Traditional Roguelike', 'Turn-Based Tactics', 'Dungeon Crawler', 'Casual', 'Exploration', 'Perma Death', 'Difficult', 'Turn-Based', 'Survival', 'Roguelike', 'RPG', '2D', 'Top-Down', 'Funny', 'Procedural Generation', 'Pixel Graphics', 'Assassins', 'Fantasy', 'Class-Based', 'Adventure']</t>
  </si>
  <si>
    <t>ducati 90th anniversary</t>
  </si>
  <si>
    <t>Milestone S.r.l.</t>
  </si>
  <si>
    <t>['Motorbike', 'Sports', 'Simulation', 'Racing', 'Cycling']</t>
  </si>
  <si>
    <t>battlefield v</t>
  </si>
  <si>
    <t>Electronic Arts</t>
  </si>
  <si>
    <t>['FPS', 'Multiplayer', 'Singleplayer', 'World War II', 'Shooter', 'War', 'Military', 'First-Person', 'Massively Multiplayer', 'PvP', 'Combat', 'Open World', 'Historical', 'Action', 'Destruction', 'Battle Royale', 'Atmospheric', 'Violent', 'Sexual Content', 'Female Protagonist']</t>
  </si>
  <si>
    <t>pac-man championship edition 2</t>
  </si>
  <si>
    <t>BANDAI NAMCO Entertainment</t>
  </si>
  <si>
    <t>['Casual', 'Arcade', 'Retro', 'Classic', 'Great Soundtrack', 'Singleplayer', 'Difficult', 'Fast-Paced', 'Score Attack', 'Action']</t>
  </si>
  <si>
    <t>fahrenheit indigo prophecy remastered</t>
  </si>
  <si>
    <t>Quantic Dream</t>
  </si>
  <si>
    <t>['Story Rich', 'Quick-Time Events', 'Adventure', 'Atmospheric', 'Choices Matter', 'Mystery', 'Singleplayer', 'Cinematic', 'Nudity', 'Detective', 'Action', 'Horror', 'Classic', 'Supernatural', 'Great Soundtrack', 'Noir', 'Remake', 'Female Protagonist', 'RPG', 'Sexual Content']</t>
  </si>
  <si>
    <t>etherborn</t>
  </si>
  <si>
    <t>Akupara Games</t>
  </si>
  <si>
    <t>['Indie', 'Adventure', 'Great Soundtrack', 'Puzzle', 'Puzzle Platformer', 'Atmospheric', 'Platformer', '3D Platformer', 'Minimalist', 'Colorful', 'Philosophical', 'Singleplayer', 'Silent Protagonist', 'Exploration', 'Music', 'Beautiful', 'Female Protagonist', 'Experimental', 'Surreal', 'Casual']</t>
  </si>
  <si>
    <t>stealth inc 2</t>
  </si>
  <si>
    <t>Curve Games</t>
  </si>
  <si>
    <t>['Indie', 'Action', 'Stealth', 'Platformer', 'Adventure', 'Puzzle', 'Puzzle Platformer', 'Singleplayer', 'Metroidvania', '2D', 'Side Scroller']</t>
  </si>
  <si>
    <t>this is the police</t>
  </si>
  <si>
    <t>['Strategy', 'Management', 'Story Rich', 'Crime', 'Choices Matter', 'Singleplayer', 'Indie', 'Simulation', 'Detective', 'Noir', 'Atmospheric', 'Adventure', 'Great Soundtrack', 'Political', 'Villain Protagonist', 'Visual Novel', 'Memes', 'Nudity', 'Sexual Content', 'Politics']</t>
  </si>
  <si>
    <t>ronin</t>
  </si>
  <si>
    <t>['Indie', 'Action', 'Ninja', 'Turn-Based', 'Platformer', 'Stealth', '2D', 'Female Protagonist', 'Turn-Based Combat', 'Turn-Based Tactics', 'Singleplayer', 'Difficult', 'Cyberpunk', 'Great Soundtrack', 'Puzzle', 'Pixel Graphics']</t>
  </si>
  <si>
    <t>umiro</t>
  </si>
  <si>
    <t>['Adventure', 'Indie', 'Strategy', 'Puzzle', 'Singleplayer', 'Colorful']</t>
  </si>
  <si>
    <t>a mortician's tale</t>
  </si>
  <si>
    <t>Laundry Bear Games</t>
  </si>
  <si>
    <t>['Indie', 'Casual', 'Female Protagonist', 'Short', 'Singleplayer', 'Point &amp; Click', 'Dark', 'LGBTQ+', 'Visual Novel', 'Story Rich', 'Relaxing', 'Atmospheric', 'Silent Protagonist', 'Experimental', 'Cute', 'Colorful', 'Stylized', 'Walking Simulator', 'Great Soundtrack', 'Interactive Fiction']</t>
  </si>
  <si>
    <t>ark survival of the fittest</t>
  </si>
  <si>
    <t>Studio Wildcard</t>
  </si>
  <si>
    <t>['Free to Play', 'Survival', 'Dinosaurs', 'Multiplayer', 'Open World', 'Action', 'Adventure', 'Massively Multiplayer', 'PvP', 'Dragons', 'Crafting', 'Early Access', 'RPG', 'First-Person', 'Singleplayer', 'Strategy', 'Exploration', 'Sandbox', 'FPS', 'Indie']</t>
  </si>
  <si>
    <t>black desert</t>
  </si>
  <si>
    <t>Pearl Abyss</t>
  </si>
  <si>
    <t>['Sandbox', 'Action RPG', 'Exploration', 'MMORPG', 'War', 'Medieval', 'Crafting', 'PvP', 'First-Person', 'Action-Adventure', 'Open World', 'Character Customization', 'RPG', 'Strategy', '3D', 'Cooking', 'Fantasy', 'Action', 'Magic', 'Cinematic']</t>
  </si>
  <si>
    <t>driver booster for steam</t>
  </si>
  <si>
    <t>IObit</t>
  </si>
  <si>
    <t>['Utilities', 'Software', 'Free to Play', 'Psychological Horror']</t>
  </si>
  <si>
    <t>fallout tactics</t>
  </si>
  <si>
    <t>['Post-apocalyptic', 'RPG', 'Turn-Based', 'Strategy', 'Tactical', 'Isometric', 'Classic', 'Singleplayer', 'Sci-fi', 'Turn-Based Strategy', 'Tactical RPG', 'Open World', 'Real-Time with Pause', 'Action', 'Atmospheric', 'Turn-Based Tactics', 'Story Rich', 'Multiplayer', 'CRPG', 'Adventure']</t>
  </si>
  <si>
    <t>half-life deathmatch source</t>
  </si>
  <si>
    <t>Valve</t>
  </si>
  <si>
    <t>['Action', 'FPS', 'Multiplayer', 'Shooter', 'Sci-fi', 'First-Person', 'Classic', 'Remake', 'Violent', 'Adventure', 'Competitive', 'Fast-Paced', 'Atmospheric', 'Singleplayer', 'Horror', 'Gore', 'Arena Shooter', 'Retro']</t>
  </si>
  <si>
    <t>sakura beach 2</t>
  </si>
  <si>
    <t>Winged Cloud</t>
  </si>
  <si>
    <t>['Nudity', 'Anime', 'Visual Novel', 'Indie', 'Casual', 'Sexual Content', 'Dating Sim', 'Singleplayer', 'Hentai']</t>
  </si>
  <si>
    <t>the stillness of the wind</t>
  </si>
  <si>
    <t>Fellow Traveller</t>
  </si>
  <si>
    <t>['Indie', 'Adventure', 'Atmospheric', 'Story Rich', 'Female Protagonist', 'Agriculture', 'Singleplayer', 'Beautiful', 'Point &amp; Click', 'Simulation', 'Emotional', 'Casual', 'Psychological', 'Exploration', 'Great Soundtrack', 'Dystopian', 'Farming', 'Cozy', 'Psychological Horror']</t>
  </si>
  <si>
    <t>vrchat</t>
  </si>
  <si>
    <t>VRChat Inc.</t>
  </si>
  <si>
    <t>['VR', 'Free to Play', 'Multiplayer', 'Anime', 'Memes', 'Funny', 'Massively Multiplayer', 'First-Person', 'Open World', 'Early Access', 'Simulation', 'Casual', 'Adventure', 'Sandbox', 'Comedy', 'MMORPG', 'Dating Sim', 'Survival Horror', 'Action', 'Atmospheric']</t>
  </si>
  <si>
    <t>risk of rain 2</t>
  </si>
  <si>
    <t>Overwhelmingly Positive</t>
  </si>
  <si>
    <t>Gearbox Publishing</t>
  </si>
  <si>
    <t>['Third-Person Shooter', 'Action Roguelike', 'Multiplayer', 'Co-op', 'Roguelite', 'Roguelike', 'Action', 'Looter Shooter', 'Loot', 'Online Co-Op', 'Shooter', 'Great Soundtrack', 'Difficult', 'Indie', 'Third Person', 'Survival', 'Singleplayer', 'Soundtrack', 'Early Access', 'Bullet Hell']</t>
  </si>
  <si>
    <t>bloons td 6</t>
  </si>
  <si>
    <t>Ninja Kiwi</t>
  </si>
  <si>
    <t>['Tower Defense', 'Strategy', 'Multiplayer', 'Singleplayer', 'Online Co-Op', 'Co-op', 'Family Friendly', 'Casual', '3D', 'Cartoony', 'Sandbox', '2D', 'Great Soundtrack', 'Difficult', 'Touch-Friendly', 'Cute', 'Funny', 'Addictive', 'Survival', 'Action']</t>
  </si>
  <si>
    <t>terraria</t>
  </si>
  <si>
    <t>Re-Logic</t>
  </si>
  <si>
    <t>['Open World Survival Craft', 'Sandbox', 'Survival', '2D', 'Multiplayer', 'Pixel Graphics', 'Adventure', 'Crafting', 'Building', 'Exploration', 'Co-op', 'Open World', 'Indie', 'Online Co-Op', 'Action', 'RPG', 'Singleplayer', 'Replay Value', 'Platformer', 'Atmospheric']</t>
  </si>
  <si>
    <t>left 4 dead 2</t>
  </si>
  <si>
    <t>['Zombies', 'Co-op', 'FPS', 'Multiplayer', 'Shooter', 'Online Co-Op', 'Action', 'Survival', 'Horror', 'First-Person', 'Gore', 'Team-Based', 'Moddable', 'Survival Horror', 'Post-apocalyptic', 'Singleplayer', 'Adventure', 'Local Co-Op', 'Replay Value', 'Tactical']</t>
  </si>
  <si>
    <t>dishonored</t>
  </si>
  <si>
    <t>['Stealth', 'First-Person', 'Assassins', 'Action', 'Steampunk', 'Singleplayer', 'Atmospheric', 'Story Rich', 'Multiple Endings', 'Adventure', 'Dark', 'Magic', 'Dystopian', 'FPS', 'RPG', 'Immersive Sim', 'Replay Value', 'Fantasy', 'Open World', 'Shooter']</t>
  </si>
  <si>
    <t>the witcher 3 wild hunt</t>
  </si>
  <si>
    <t>CD PROJEKT RED</t>
  </si>
  <si>
    <t>['Open World', 'RPG', 'Story Rich', 'Atmospheric', 'Fantasy', 'Adventure', 'Singleplayer', 'Nudity', 'Choices Matter', 'Great Soundtrack', 'Third Person', 'Medieval', 'Action', 'Multiple Endings', 'Action RPG', 'Dark Fantasy', 'Magic', 'Dark', 'Sandbox', 'Sexual Content']</t>
  </si>
  <si>
    <t>fallout new vegas</t>
  </si>
  <si>
    <t>['Open World', 'RPG', 'Post-apocalyptic', 'Singleplayer', 'Moddable', 'Story Rich', 'Exploration', 'First-Person', 'Action', 'Adventure', 'FPS', 'Sci-fi', 'Western', 'Atmospheric', 'Action RPG', 'Character Customization', 'Survival', 'Sandbox', 'Shooter', 'Third Person']</t>
  </si>
  <si>
    <t>left 4 dead</t>
  </si>
  <si>
    <t>['Zombies', 'Co-op', 'Multiplayer', 'FPS', 'Action', 'Horror', 'Shooter', 'Online Co-Op', 'Survival', 'Team-Based', 'First-Person', 'Post-apocalyptic', 'Singleplayer', 'Moddable', 'Atmospheric', 'Adventure', 'Tactical', 'Replay Value', 'Competitive', 'Female Protagonist']</t>
  </si>
  <si>
    <t>mini metro</t>
  </si>
  <si>
    <t>Dinosaur Polo Club</t>
  </si>
  <si>
    <t>['Strategy', 'Puzzle', 'Minimalist', 'Simulation', 'Trains', 'Indie', 'Singleplayer', 'Casual', 'Management', '2D', 'Relaxing', 'Transportation', 'Building', 'Mouse Only', 'Touch-Friendly', 'Difficult', 'Great Soundtrack', 'Addictive', 'Replay Value', 'Top-Down']</t>
  </si>
  <si>
    <t>deep rock galactic</t>
  </si>
  <si>
    <t>Coffee Stain Publishing</t>
  </si>
  <si>
    <t>['Dwarves', 'Co-op', 'PvE', 'FPS', 'Procedural Generation', 'Class-Based', 'Shooter', 'Exploration', 'First-Person', 'Loot', 'Sci-fi', 'Action', 'Space', 'Atmospheric', 'Looter Shooter', 'Combat', 'Survival', 'Horror', 'Dark', 'Action Roguelike']</t>
  </si>
  <si>
    <t>half-life 2</t>
  </si>
  <si>
    <t>['FPS', 'Action', 'Sci-fi', 'Classic', 'Singleplayer', 'Story Rich', 'Shooter', 'First-Person', 'Adventure', 'Dystopian', 'Atmospheric', 'Silent Protagonist', 'Zombies', 'Physics', 'Aliens', 'Great Soundtrack', 'Horror', 'Multiplayer', 'Puzzle', 'Moddable']</t>
  </si>
  <si>
    <t>hollow knight</t>
  </si>
  <si>
    <t>Team Cherry</t>
  </si>
  <si>
    <t>['Metroidvania', 'Platformer', 'Souls-like', 'Difficult', 'Great Soundtrack', '2D', 'Indie', 'Singleplayer', 'Exploration', 'Atmospheric', 'Adventure', 'Story Rich', 'Hand-drawn', 'Multiple Endings', 'Action', 'Dark Fantasy', 'Open World', 'Cute', 'Controller', 'Side Scroller']</t>
  </si>
  <si>
    <t>crypt of the necrodancer</t>
  </si>
  <si>
    <t>Brace Yourself Games</t>
  </si>
  <si>
    <t>['Rhythm', 'Roguelike', 'Great Soundtrack', 'Pixel Graphics', 'Dungeon Crawler', 'Indie', 'Difficult', 'Female Protagonist', 'Music', 'Local Co-Op', 'RPG', '2D', 'Action', 'Roguelite', 'Procedural Generation', 'Singleplayer', 'Fantasy', 'Co-op', 'Adventure', 'Retro']</t>
  </si>
  <si>
    <t>devil may cry 5</t>
  </si>
  <si>
    <t>['Action', 'Hack and Slash', 'Great Soundtrack', 'Character Action Game', 'Demons', 'Spectacle fighter', 'Third Person', 'Singleplayer', 'Sexual Content', 'Nudity', 'Violent', 'Story Rich', 'Stylized', 'Difficult', 'Gore', 'Multiplayer', 'Classic', 'Controller', 'Adventure', 'Anime']</t>
  </si>
  <si>
    <t>yakuza 0</t>
  </si>
  <si>
    <t>SEGA</t>
  </si>
  <si>
    <t>['Story Rich', 'Action', "Beat 'em up", 'Great Soundtrack', 'Crime', 'Open World', 'Minigames', 'Funny', 'RPG', 'Singleplayer', 'Violent', 'Adventure', 'Comedy', 'Sexual Content', 'Third Person', 'Atmospheric', 'JRPG', 'Dating Sim', 'Anime', '1980s']</t>
  </si>
  <si>
    <t>doom</t>
  </si>
  <si>
    <t>['FPS', 'Gore', 'Action', 'Shooter', 'Great Soundtrack', 'Demons', 'First-Person', 'Multiplayer', 'Fast-Paced', 'Singleplayer', 'Sci-fi', 'Horror', 'Atmospheric', 'Classic', 'Difficult', 'Remake', 'Zombies', 'Violent', 'Co-op', 'Boomer Shooter']</t>
  </si>
  <si>
    <t>enter the gungeon</t>
  </si>
  <si>
    <t>['Bullet Hell', 'Action Roguelike', 'Roguelike', 'Pixel Graphics', 'Difficult', 'Dungeon Crawler', 'Indie', 'Local Co-Op', 'Multiplayer', 'Twin Stick Shooter', 'Co-op', 'Action', '2D', 'Top-Down', 'Shooter', 'Singleplayer', 'Roguelite', 'Loot', 'Cute', 'Funny']</t>
  </si>
  <si>
    <t>monster prom</t>
  </si>
  <si>
    <t>Xelu</t>
  </si>
  <si>
    <t>['Dating Sim', 'Comedy', 'LGBTQ+', 'Multiplayer', 'Choices Matter', 'Visual Novel', 'Funny', 'Indie', 'Vampires', 'Simulation', 'Sexual Content', 'Local Multiplayer', 'Fantasy', 'Story Rich', 'Demons', 'Online Co-Op', 'Nudity', 'Zombies', 'Great Soundtrack', 'Life Sim']</t>
  </si>
  <si>
    <t>ftl faster than light</t>
  </si>
  <si>
    <t>Subset Games</t>
  </si>
  <si>
    <t>['Roguelike', 'Space', 'Strategy', 'Sci-fi', 'Indie', 'Singleplayer', 'Perma Death', 'Difficult', 'Replay Value', 'Real-Time with Pause', 'Procedural Generation', 'Tactical', 'Top-Down', 'Space Sim', 'Roguelite', '2D', 'Survival', 'Choose Your Own Adventure', 'Adventure', 'Simulation']</t>
  </si>
  <si>
    <t>oxygen not included</t>
  </si>
  <si>
    <t>Klei Entertainment</t>
  </si>
  <si>
    <t>['Colony Sim', 'Base Building', 'Survival', 'Resource Management', 'Building', 'Singleplayer', 'Management', '2D', 'Sandbox', 'Simulation', 'Strategy', 'Space', 'Indie', 'Sci-fi', 'Difficult', 'Exploration', 'Open World', 'Multiplayer', 'Adventure', 'Space Sim']</t>
  </si>
  <si>
    <t>portal 2</t>
  </si>
  <si>
    <t>['Singleplayer', 'Platformer', 'Puzzle', 'First-Person', 'Dark Humor', 'Story Rich', 'Puzzle Platformer', 'Funny', 'Female Protagonist', '3D Platformer', 'Action-Adventure', 'Co-op', 'Action', 'FPS', 'Physics', 'Sci-fi', 'Level Editor', 'Science', 'Comedy', 'Atmospheric']</t>
  </si>
  <si>
    <t>hades</t>
  </si>
  <si>
    <t>Supergiant Games</t>
  </si>
  <si>
    <t>['Action Roguelike', 'Roguelite', 'Hack and Slash', 'Indie', 'Mythology', 'Action', 'Roguelike', 'Singleplayer', 'Great Soundtrack', 'Story Rich', 'Dungeon Crawler', 'RPG', 'Replay Value', 'Isometric', 'Difficult', 'Hand-drawn', 'Action RPG', 'Atmospheric', 'LGBTQ+', 'Perma Death']</t>
  </si>
  <si>
    <t>monster prom 2 monster camp</t>
  </si>
  <si>
    <t>Beautiful Glitch</t>
  </si>
  <si>
    <t>['Dating Sim', 'LGBTQ+', 'Multiplayer', 'Comedy', 'Indie', 'Multiple Endings', 'Online Co-Op', 'Visual Novel', 'Casual', 'Funny', 'Singleplayer', 'Text-Based', 'Dark Comedy', 'Romance', '2D', 'Fantasy', 'Choose Your Own Adventure', 'Story Rich', 'Sequel', 'Simulation']</t>
  </si>
  <si>
    <t>danganronpa 2 goodbye despair</t>
  </si>
  <si>
    <t>Spike Chunsoft Co., Ltd.</t>
  </si>
  <si>
    <t>['Anime', 'Detective', 'Visual Novel', 'Mystery', 'Story Rich', 'Great Soundtrack', 'Singleplayer', 'Psychological Horror', 'Adventure', 'Dark Comedy', 'Puzzle', 'Horror', 'Atmospheric', 'Dark', 'Comedy', 'Dating Sim', 'Funny', 'Memes', 'Walking Simulator', 'Sexual Content']</t>
  </si>
  <si>
    <t>the bard's tale trilogy</t>
  </si>
  <si>
    <t>['RPG', 'Dungeon Crawler', 'Classic', 'Grid-Based Movement', 'Fantasy', 'First-Person', 'Old School', 'Singleplayer', 'Party-Based RPG', 'Remake', 'Retro', 'Turn-Based', 'CRPG', '2D', 'Turn-Based Combat']</t>
  </si>
  <si>
    <t>a hat in time</t>
  </si>
  <si>
    <t>Gears for Breakfast</t>
  </si>
  <si>
    <t>['Cute', '3D Platformer', 'Collectathon', 'Great Soundtrack', 'Funny', 'Female Protagonist', 'Adventure', 'Indie', 'Platformer', 'Colorful', 'Exploration', 'Third Person', 'Singleplayer', 'Co-op', 'Moddable', 'Open World', 'Comedy', 'Family Friendly', 'Action', 'Atmospheric']</t>
  </si>
  <si>
    <t>slay the spire</t>
  </si>
  <si>
    <t>Mega Crit</t>
  </si>
  <si>
    <t>['Roguelike Deckbuilder', 'Card Game', 'Card Battler', 'Roguelike', 'Deckbuilding', 'Turn-Based', 'Strategy', 'Singleplayer', 'Roguelite', 'Replay Value', 'Indie', 'Difficult', 'Dungeon Crawler', 'Mouse Only', 'RPG', '2D', 'Fantasy', 'Procedural Generation', 'Great Soundtrack', 'Casual']</t>
  </si>
  <si>
    <t>crawl</t>
  </si>
  <si>
    <t>Powerhoof</t>
  </si>
  <si>
    <t>['Pixel Graphics', 'Dungeon Crawler', 'Local Multiplayer', '4 Player Local', 'Action Roguelike', 'Indie', 'Local Co-Op', 'Action', 'Multiplayer', 'Roguelike', 'RPG', 'Lovecraftian', '2D', 'Great Soundtrack', 'Co-op', 'Fantasy', 'Gore', 'Singleplayer', 'Horror', 'Arcade']</t>
  </si>
  <si>
    <t>cuphead</t>
  </si>
  <si>
    <t>Studio MDHR Entertainment Inc.</t>
  </si>
  <si>
    <t>['Difficult', 'Cartoon', 'Co-op', 'Platformer', 'Local Co-Op', 'Great Soundtrack', 'Multiplayer', '2D', 'Indie', 'Hand-drawn', 'Cartoony', 'Bullet Hell', 'Retro', 'Action', "Shoot 'Em Up", 'Singleplayer', 'Side Scroller', 'Souls-like', 'Colorful', 'Funny']</t>
  </si>
  <si>
    <t>danganronpa trigger happy havoc</t>
  </si>
  <si>
    <t>['Visual Novel', 'Anime', 'Detective', 'Mystery', 'Story Rich', 'Great Soundtrack', 'Singleplayer', 'Psychological Horror', 'Horror', 'Adventure', 'Dark Comedy', 'Dark Humor', 'Puzzle', 'Point &amp; Click', 'Funny', 'Exploration', 'Comedy', 'Survival', 'Action', 'Memes']</t>
  </si>
  <si>
    <t>psychonauts</t>
  </si>
  <si>
    <t>Double Fine Productions</t>
  </si>
  <si>
    <t>['Platformer', 'Comedy', 'Adventure', 'Singleplayer', 'Action', 'Funny', '3D Platformer', 'Third Person', 'Classic', 'Story Rich', 'Psychological', 'Great Soundtrack', 'Surreal', 'Cartoony', 'Collectathon', 'Exploration', 'Action-Adventure', '3D', 'Indie', 'Psychedelic']</t>
  </si>
  <si>
    <t>hotline miami</t>
  </si>
  <si>
    <t>['Great Soundtrack', 'Violent', 'Action', 'Indie', 'Pixel Graphics', 'Top-Down', 'Gore', '1980s', 'Fast-Paced', 'Retro', 'Psychedelic', 'Difficult', 'Singleplayer', 'Surreal', 'Top-Down Shooter', '2D', 'Shooter', 'Addictive', 'Atmospheric', 'Music']</t>
  </si>
  <si>
    <t>celeste</t>
  </si>
  <si>
    <t>Maddy Makes Games Inc.</t>
  </si>
  <si>
    <t>['Precision Platformer', 'Difficult', 'Great Soundtrack', 'Pixel Graphics', 'Indie', 'Platformer', '2D Platformer', 'Female Protagonist', 'Singleplayer', '2D', 'Story Rich', 'Adventure', 'Cute', 'Puzzle Platformer', 'LGBTQ+', 'Atmospheric', 'Action', 'Side Scroller', 'Retro', 'Exploration']</t>
  </si>
  <si>
    <t>my friend pedro</t>
  </si>
  <si>
    <t>['Action', 'Indie', 'Shooter', 'Gore', 'Parkour', 'Bullet Time', 'Violent', 'Great Soundtrack', 'Singleplayer', 'Side Scroller', 'Platformer', 'Fast-Paced', 'Funny', 'Comedy', '2D', '2.5D', 'Physics', 'Controller', 'Multiplayer', 'Difficult']</t>
  </si>
  <si>
    <t>stonemachia</t>
  </si>
  <si>
    <t>Crossfall Games</t>
  </si>
  <si>
    <t>['Souls-like', 'Hack and Slash', 'Atmospheric', 'Spectacle fighter', 'God Game', 'Mythology', 'Surreal', 'Medieval', 'Dark', 'Swordplay', '3D', 'Fantasy', 'Controller', 'Mystery Dungeon', 'Hidden Object', 'Action', 'Exploration', 'Adventure', 'Action-Adventure', 'Singleplayer']</t>
  </si>
  <si>
    <t>garry's mod</t>
  </si>
  <si>
    <t>['Sandbox', 'Moddable', 'Multiplayer', 'Physics', 'Building', 'Casual', 'Funny', 'First-Person', 'Singleplayer', 'FPS', 'Simulation', 'Comedy', 'Shooter', 'Online Co-Op', 'Co-op', 'Action', 'Indie', 'PvP', 'Realistic', 'Exploration']</t>
  </si>
  <si>
    <t>katana zero</t>
  </si>
  <si>
    <t>['Pixel Graphics', 'Action', 'Great Soundtrack', 'Story Rich', 'Platformer', 'Cyberpunk', '2D Platformer', 'Indie', 'Hack and Slash', '2D', 'Fast-Paced', 'Violent', 'Difficult', 'Singleplayer', 'Time Manipulation', 'Gore', 'Ninja', 'Retro', 'Noir', 'Sci-fi']</t>
  </si>
  <si>
    <t>spacechem</t>
  </si>
  <si>
    <t>Zachtronics</t>
  </si>
  <si>
    <t>['Puzzle', 'Difficult', 'Programming', 'Indie', 'Logic', 'Singleplayer', 'Automation', 'Sci-fi', 'Great Soundtrack', 'Science', '2D', 'Space', 'Simulation', 'Casual', 'Education', 'Addictive', 'Strategy', 'Touch-Friendly', 'Building']</t>
  </si>
  <si>
    <t>the jackbox party pack 2</t>
  </si>
  <si>
    <t>Jackbox Games, Inc.</t>
  </si>
  <si>
    <t>['Trivia', 'Local Multiplayer', 'Casual', 'Comedy', 'Indie', 'Strategy', 'Party', 'Multiplayer', 'Funny', 'Party Game', 'Local Co-Op', 'Board Game', 'Co-op', 'Family Friendly', '4 Player Local']</t>
  </si>
  <si>
    <t>vvvvvv</t>
  </si>
  <si>
    <t>Terry Cavanagh</t>
  </si>
  <si>
    <t>['Pixel Graphics', 'Precision Platformer', 'Platformer', 'Indie', '2D Platformer', 'Great Soundtrack', 'Difficult', 'Retro', '2D', 'Singleplayer', 'Exploration', 'Action', 'Sci-fi', 'Adventure', 'Short', 'Minimalist', 'Metroidvania', 'Puzzle', 'Open World', 'Space']</t>
  </si>
  <si>
    <t>duck game</t>
  </si>
  <si>
    <t>CORPTRON GAMES CORP.</t>
  </si>
  <si>
    <t>['Multiplayer', 'Funny', 'Local Multiplayer', 'Pixel Graphics', 'Action', '2D', '4 Player Local', 'Platformer', 'Indie', 'Fast-Paced', 'Shooter', 'Comedy', 'Competitive', 'Retro', 'Local Co-Op', 'Great Soundtrack', 'Co-op', 'Memes', 'Casual', '1980s']</t>
  </si>
  <si>
    <t>gris</t>
  </si>
  <si>
    <t>['Beautiful', 'Atmospheric', 'Great Soundtrack', 'Indie', 'Female Protagonist', 'Adventure', 'Hand-drawn', 'Platformer', 'Singleplayer', 'Relaxing', '2D', 'Story Rich', 'Puzzle', 'Colorful', 'Puzzle Platformer', 'Surreal', 'Casual', 'Exploration', 'Walking Simulator', 'Anime']</t>
  </si>
  <si>
    <t>wallpaper engine</t>
  </si>
  <si>
    <t>Wallpaper Engine Team</t>
  </si>
  <si>
    <t>['Utilities', 'Anime', 'Software', 'Design &amp; Illustration', 'Animation &amp; Modeling', 'First-Person', 'Indie', 'Cute', 'Memes', 'Action', 'Singleplayer', 'Funny', 'Early Access', 'Photo Editing', 'Sandbox', 'Gaming', 'Horror', 'Game Development', 'Souls-like', 'Multiplayer']</t>
  </si>
  <si>
    <t>exapunks</t>
  </si>
  <si>
    <t>['Programming', 'Puzzle', 'Hacking', 'Automation', 'Indie', 'Simulation', 'Logic', 'Cyberpunk', 'Singleplayer', 'Difficult', 'Great Soundtrack', 'Sandbox']</t>
  </si>
  <si>
    <t>portal</t>
  </si>
  <si>
    <t>['Puzzle', 'Puzzle Platformer', 'First-Person', '3D Platformer', 'Singleplayer', 'Sci-fi', 'Comedy', 'Female Protagonist', 'Physics', 'Funny', 'Action', 'Classic', 'Story Rich', 'Platformer', 'Science', 'Atmospheric', 'Dark Humor', 'Short', 'FPS', 'Adventure']</t>
  </si>
  <si>
    <t>pikuniku</t>
  </si>
  <si>
    <t>['Indie', 'Casual', 'Adventure', 'Puzzle', 'Multiplayer', 'Cute', 'Co-op', 'Funny', 'Action', '2D', 'Platformer', 'Family Friendly', 'Local Co-Op', 'Great Soundtrack', 'Comedy', 'Colorful', 'Puzzle Platformer', 'Singleplayer', 'Dystopian', 'Exploration']</t>
  </si>
  <si>
    <t>helltaker</t>
  </si>
  <si>
    <t>vanripper</t>
  </si>
  <si>
    <t>['Free to Play', 'Cute', 'Puzzle', 'Demons', 'Indie', 'Great Soundtrack', 'Anime', 'Singleplayer', 'Sexual Content', '2D', 'Short', 'Comedy', 'Difficult', 'Adventure', 'Dating Sim', 'Funny', 'Hentai', 'Rhythm', 'Visual Novel', 'Nudity']</t>
  </si>
  <si>
    <t>opus magnum</t>
  </si>
  <si>
    <t>['Puzzle', 'Programming', 'Automation', 'Indie', 'Simulation', 'Logic', 'Singleplayer', 'Steampunk', 'Great Soundtrack', 'Difficult', 'Building', '2D', 'Sandbox', 'Hex Grid', 'Casual']</t>
  </si>
  <si>
    <t>super hexagon</t>
  </si>
  <si>
    <t>['Difficult', 'Great Soundtrack', 'Indie', 'Fast-Paced', 'Arcade', 'Addictive', 'Rhythm', 'Singleplayer', 'Minimalist', 'Action', 'Score Attack', 'Music', '2D', 'Psychedelic', 'Colorful', 'Casual', 'Replay Value', 'Controller', 'Puzzle', 'Soundtrack']</t>
  </si>
  <si>
    <t>a good snowman is hard to build</t>
  </si>
  <si>
    <t>Draknek &amp; Friends</t>
  </si>
  <si>
    <t>['Cute', 'Puzzle', 'Sokoban', 'Relaxing', 'Open World', 'Difficult', 'Exploration', 'Strategy', 'Isometric', 'Post-apocalyptic', 'Surreal', 'Casual', 'Abstract', 'Cartoony', 'Minimalist', 'Colorful', 'Stylized', 'Family Friendly', 'Great Soundtrack', 'Atmospheric']</t>
  </si>
  <si>
    <t>5d chess with multiverse time travel</t>
  </si>
  <si>
    <t>Conor Petersen</t>
  </si>
  <si>
    <t>['Chess', 'Time Travel', 'Time Manipulation', 'Board Game', 'Difficult', 'Puzzle', 'Multiplayer', 'Turn-Based Strategy', 'Strategy', 'Psychological', 'Turn-Based Tactics', 'Singleplayer', 'PvP', 'Indie', 'Artificial Intelligence', 'Psychedelic', 'Violent', 'Sci-fi', 'Colorful', 'Story Rich']</t>
  </si>
  <si>
    <t>deus ex game of the year edition</t>
  </si>
  <si>
    <t>['Cyberpunk', 'RPG', 'Stealth', 'Immersive Sim', 'Classic', 'FPS', 'Sci-fi', 'Action', 'Singleplayer', 'Dystopian', 'Story Rich', 'Great Soundtrack', 'Inventory Management', 'First-Person', 'Conspiracy', 'Atmospheric', 'Moddable', 'Action RPG', 'Shooter', 'Adventure']</t>
  </si>
  <si>
    <t>doki doki literature club</t>
  </si>
  <si>
    <t>Team Salvato</t>
  </si>
  <si>
    <t>['Psychological Horror', 'Visual Novel', 'Anime', 'Free to Play', 'Dating Sim', 'Cute', 'Horror', 'Dark', 'Story Rich', 'Romance', 'Singleplayer', 'Great Soundtrack', 'Gore', 'Violent', 'Sexual Content', 'Indie', 'First-Person', 'Memes', 'Casual', 'Adventure']</t>
  </si>
  <si>
    <t>don't starve</t>
  </si>
  <si>
    <t>['Survival', 'Open World Survival Craft', 'Crafting', 'Adventure', 'Indie', 'Sandbox', 'Singleplayer', 'Perma Death', 'Multiplayer', 'Open World', 'Exploration', 'Roguelike', 'Replay Value', 'Moddable', 'Difficult', 'Simulation', '2D', 'Top-Down', 'Survival Horror', 'Horror']</t>
  </si>
  <si>
    <t>don't starve together</t>
  </si>
  <si>
    <t>['Survival', 'Open World Survival Craft', 'Multiplayer', 'Co-op', 'Open World', 'Adventure', 'Crafting', 'Online Co-Op', 'Sandbox', 'Difficult', 'Indie', '2D', 'Atmospheric', 'Survival Horror', 'Funny', 'Strategy', 'Horror', 'Singleplayer', 'Action', 'Roguelike']</t>
  </si>
  <si>
    <t>fallout</t>
  </si>
  <si>
    <t>['RPG', 'Post-apocalyptic', 'Classic', 'Open World', 'Isometric', 'Turn-Based', 'Turn-Based Combat', 'Singleplayer', 'Sci-fi', 'Atmospheric', 'Multiple Endings', 'CRPG', "1990's", 'Retro', 'Adventure', 'Exploration', '2D', 'Difficult', 'Tactical', 'Sandbox']</t>
  </si>
  <si>
    <t>lethal company</t>
  </si>
  <si>
    <t>Zeekerss</t>
  </si>
  <si>
    <t>['Online Co-Op', 'Horror', 'First-Person', 'Co-op', 'Survival Horror', 'Funny', 'Exploration', 'Psychological Horror', 'Sci-fi', 'PvE', 'Atmospheric', 'Procedural Generation', 'Aliens', 'Time Management', 'Adventure', 'Dungeon Crawler', 'Action', 'Early Access', 'Action-Adventure', 'Perma Death']</t>
  </si>
  <si>
    <t>tmodloader</t>
  </si>
  <si>
    <t>['Adventure', 'Free to Play', 'Action', 'Indie', 'RPG', 'Mod', 'Sandbox', 'Moddable', 'Multiplayer', '2D', 'Pixel Graphics', 'Building', 'Survival', 'Online Co-Op', 'Singleplayer', 'Great Soundtrack', 'Replay Value', 'Co-op', 'Difficult', 'Open World Survival Craft']</t>
  </si>
  <si>
    <t>undertale</t>
  </si>
  <si>
    <t>tobyfox</t>
  </si>
  <si>
    <t>['Great Soundtrack', 'Story Rich', 'Choices Matter', 'Multiple Endings', 'Pixel Graphics', 'Funny', 'RPG', 'Singleplayer', 'Indie', '2D', 'Comedy', 'Replay Value', 'Bullet Hell', 'Cute', 'Memes', 'Retro', 'Dark', 'Psychological Horror', 'Dating Sim', 'Horror']</t>
  </si>
  <si>
    <t>rising dusk</t>
  </si>
  <si>
    <t>Positive</t>
  </si>
  <si>
    <t>Studio Stobie</t>
  </si>
  <si>
    <t>['Indie', 'Platformer', 'Puzzle Platformer', 'Female Protagonist', 'Pixel Graphics', 'Cute']</t>
  </si>
  <si>
    <t>paper fire rookie</t>
  </si>
  <si>
    <t>Ultimerse</t>
  </si>
  <si>
    <t>['VR', 'Action', 'Adventure', 'Casual', 'Simulation', 'Indie', 'Funny', 'Comedy', 'Cartoon', 'First-Person', 'Colorful', '6DOF', 'Family Friendly', 'Arcade', 'Singleplayer', '3D', 'Satire', "Shoot 'Em Up"]</t>
  </si>
  <si>
    <t>banana hell mountain of madness</t>
  </si>
  <si>
    <t>Petriheart</t>
  </si>
  <si>
    <t>['Precision Platformer', 'Funny', 'Platformer', '2D Platformer', 'Casual', '2D', 'Strategy', 'Surreal', 'Side Scroller', 'Colorful', 'Hand-drawn', 'Stylized', 'Atmospheric', 'Emotional', 'Dystopian', 'Dark Fantasy', 'Lovecraftian', 'Psychedelic', 'Psychological', 'Dark']</t>
  </si>
  <si>
    <t>company of heroes 2</t>
  </si>
  <si>
    <t>Very Positive</t>
  </si>
  <si>
    <t>Relic Entertainment</t>
  </si>
  <si>
    <t>['Strategy', 'World War II', 'RTS', 'Multiplayer', 'Tactical', 'War', 'Historical', 'Military', 'Singleplayer', 'Co-op', 'Online Co-Op', 'Base Building', 'Tanks', 'Real-Time', 'Action', 'Real-Time with Pause', 'Atmospheric', 'Simulation', 'Great Soundtrack', 'Adventure']</t>
  </si>
  <si>
    <t>europa universalis iv</t>
  </si>
  <si>
    <t>['Grand Strategy', 'Strategy', 'Historical', 'Simulation', '4X', 'Alternate History', 'Wargame', 'Military', 'Diplomacy', 'Economy', 'Replay Value', 'Sandbox', 'Political', 'Real-Time with Pause', 'Moddable', 'Nonlinear', 'Co-op', 'Singleplayer', 'Management', 'Multiplayer']</t>
  </si>
  <si>
    <t>killing floor 2</t>
  </si>
  <si>
    <t>Tripwire Interactive</t>
  </si>
  <si>
    <t>['Gore', 'Zombies', 'Multiplayer', 'Online Co-Op', 'FPS', 'Post-apocalyptic', 'Hack and Slash', 'Shooter', 'Horror', 'Action', 'Moddable', 'Survival', 'First-Person', 'Co-op', 'Team-Based', 'Survival Horror', 'Atmospheric', 'PvE', 'Character Customization', 'Dark']</t>
  </si>
  <si>
    <t>hearts of iron iv</t>
  </si>
  <si>
    <t>['Strategy', 'World War II', 'Grand Strategy', 'War', 'Historical', 'Military', 'Alternate History', 'Multiplayer', 'Simulation', 'Tactical', 'Singleplayer', 'RTS', 'Real-Time with Pause', 'Diplomacy', 'Sandbox', 'Co-op', 'Strategy RPG', 'Open World', 'Competitive', 'Action']</t>
  </si>
  <si>
    <t>ai war 2</t>
  </si>
  <si>
    <t>Arcen Games</t>
  </si>
  <si>
    <t>['4X', 'Grand Strategy', 'Multiplayer', 'Co-op', 'Tower Defense', 'RTS', 'Real Time Tactics', 'Economy', 'Management', 'Military', 'Sci-fi', 'Space', 'War', 'Real-Time', 'Sandbox', 'Strategy', 'Simulation', 'Online Co-Op', 'Tactical', 'Moddable']</t>
  </si>
  <si>
    <t>stellaris</t>
  </si>
  <si>
    <t>['Space', 'Strategy', 'Grand Strategy', 'Sci-fi', '4X', 'Exploration', 'Sandbox', 'Simulation', 'Multiplayer', 'Real-Time with Pause', 'Singleplayer', 'Moddable', 'Management', 'Diplomacy', 'Military', 'Futuristic', 'Replay Value', 'Great Soundtrack', 'Procedural Generation', 'Atmospheric']</t>
  </si>
  <si>
    <t>alien swarm reactive drop</t>
  </si>
  <si>
    <t>Reactive Drop Team</t>
  </si>
  <si>
    <t>['Twin Stick Shooter', 'PvE', 'Co-op', 'Top-Down Shooter', 'Class-Based', 'Third-Person Shooter', 'Aliens', 'Level Editor', 'Hacking', 'PvP', 'Third Person', 'Shooter', 'Moddable', 'Top-Down', 'First-Person', 'Sci-fi', 'Combat', 'Tactical', 'LGBTQ+', 'Free to Play']</t>
  </si>
  <si>
    <t>warframe</t>
  </si>
  <si>
    <t>Digital Extremes</t>
  </si>
  <si>
    <t>['Free to Play', 'Looter Shooter', 'Action RPG', 'Third-Person Shooter', 'Action', 'RPG', 'Third Person', 'Massively Multiplayer', 'Online Co-Op', 'Character Customization', 'Co-op', 'PvE', 'Sci-fi', 'Singleplayer', 'Space', 'Lore-Rich', 'Shooter', 'Hack and Slash', 'Parkour', 'Ninja']</t>
  </si>
  <si>
    <t>crusader kings iii</t>
  </si>
  <si>
    <t>['Strategy', 'Medieval', 'Grand Strategy', 'Simulation', 'RPG', 'Historical', 'Management', 'Character Customization', 'Life Sim', 'Sandbox', 'Choices Matter', 'RTS', 'War', 'Singleplayer', 'Economy', 'Political', 'Multiplayer', 'Moddable', '4X', 'Real-Time with Pause']</t>
  </si>
  <si>
    <t>crusader kings ii</t>
  </si>
  <si>
    <t>['Grand Strategy', 'Strategy', 'Medieval', 'Historical', 'Political Sim', 'Simulation', 'RPG', 'Sandbox', 'Multiplayer', 'Politics', 'Diplomacy', 'Singleplayer', 'Replay Value', 'Real-Time with Pause', 'Moddable', 'Free to Play', 'Political', 'Character Customization', 'RTS', 'Great Soundtrack']</t>
  </si>
  <si>
    <t>hitman 2</t>
  </si>
  <si>
    <t>IO Interactive A/S</t>
  </si>
  <si>
    <t>['Stealth', 'Assassins', 'Action', 'Singleplayer', 'Third Person', 'Multiplayer', 'Violent', 'Open World', 'Sandbox', 'Strategy', 'Gore', 'Puzzle', 'Shooter', 'Atmospheric', 'Third-Person Shooter', 'Co-op', 'Funny', 'Online Co-Op', 'Great Soundtrack', 'Nudity']</t>
  </si>
  <si>
    <t>darkest dungeonÂ®</t>
  </si>
  <si>
    <t>Red Hook Studios</t>
  </si>
  <si>
    <t>['Turn-Based Combat', 'Dungeon Crawler', 'Dark Fantasy', 'Roguelike', 'RPG', 'Lovecraftian', 'Difficult', 'Turn-Based', 'Singleplayer', 'Perma Death', 'Strategy', 'Atmospheric', 'Dark', 'Indie', '2D', 'Roguelite', 'Horror', 'Gothic', 'Fantasy', 'Great Soundtrack']</t>
  </si>
  <si>
    <t>total war shogun 2</t>
  </si>
  <si>
    <t>['Strategy', 'Historical', 'Turn-Based Strategy', 'RTS', 'Grand Strategy', 'Tactical', 'Singleplayer', 'Multiplayer', 'Samurai', 'Real Time Tactics', 'Military', 'Diplomacy', 'Ninja', 'Co-op', 'Turn-Based', 'Medieval', 'Great Soundtrack', 'Moddable', 'Turn-Based Tactics', 'Action']</t>
  </si>
  <si>
    <t>reventure</t>
  </si>
  <si>
    <t>Pixelatto</t>
  </si>
  <si>
    <t>['Adventure', 'Indie', 'Pixel Graphics', 'Multiple Endings', 'Comedy', '2D', 'Platformer', 'Singleplayer', 'Dark Humor', 'Exploration', 'Choose Your Own Adventure', 'Nonlinear', 'Retro', 'Metroidvania', 'Violent', 'Puzzle Platformer', 'Choices Matter', 'Dark Comedy', 'Great Soundtrack', 'Mystery Dungeon']</t>
  </si>
  <si>
    <t>aimlabs</t>
  </si>
  <si>
    <t>Statespace</t>
  </si>
  <si>
    <t>['FPS', 'Free to Play', 'Shooter', 'Simulation', 'Action', 'First-Person', 'Third-Person Shooter', 'Software', 'Score Attack', 'eSports', 'Controller', 'Level Editor', 'Competitive', 'Co-op', 'PvP', 'PvE', 'Education', '3D', 'Sniper', 'Casual']</t>
  </si>
  <si>
    <t>devil may cry hd collection</t>
  </si>
  <si>
    <t>['Hack and Slash', 'Action', 'Great Soundtrack', 'Character Action Game', 'Difficult', 'Classic', 'Spectacle fighter', 'Demons', 'Singleplayer', 'Stylized', 'Violent', 'Third Person', 'Gothic', 'Gore', 'Atmospheric', 'Story Rich', 'Fast-Paced', 'Adventure', "Beat 'em up", 'Anime']</t>
  </si>
  <si>
    <t>hand of fate 2</t>
  </si>
  <si>
    <t>Defiant Development</t>
  </si>
  <si>
    <t>['RPG', 'Roguelike Deckbuilder', 'Card Game', 'Deckbuilding', 'Action', 'Roguelite', 'Action Roguelike', 'Indie', 'Singleplayer', 'Board Game', 'Fantasy', 'Roguelike', 'Dungeon Crawler', 'Hack and Slash', 'Choices Matter', 'Strategy', 'Third Person', 'Action RPG', 'Atmospheric', 'Female Protagonist']</t>
  </si>
  <si>
    <t>house flipper</t>
  </si>
  <si>
    <t>Frozen District</t>
  </si>
  <si>
    <t>['Cleaning', 'Simulation', 'Design &amp; Illustration', 'Singleplayer', 'Building', 'Multiplayer', 'Relaxing', 'Sandbox', 'Casual', 'Decorating', 'Immersive Sim', 'Education', 'First-Person', 'Organizing', 'Management', 'Economy', '3D', 'Family Friendly', 'Base Building', 'Realistic']</t>
  </si>
  <si>
    <t>magicka</t>
  </si>
  <si>
    <t>['Comedy', 'Co-op', 'Action', 'Fantasy', 'Magic', 'Online Co-Op', 'Multiplayer', 'RPG', 'Adventure', 'Funny', 'Local Co-Op', '4 Player Local', 'Indie', 'Local Multiplayer', 'Singleplayer', 'Difficult', 'Team-Based', 'Action RPG', 'Arcade', 'Strategy']</t>
  </si>
  <si>
    <t>xcom enemy unknown</t>
  </si>
  <si>
    <t>['Turn-Based Strategy', 'Tactical', 'Strategy', 'Sci-fi', 'Turn-Based', 'Aliens', 'Singleplayer', 'Difficult', 'Base Building', 'Turn-Based Tactics', 'Replay Value', 'Addictive', 'Character Customization', 'Perma Death', 'Multiplayer', 'RPG', 'Action', 'Atmospheric', 'Futuristic', 'Reboot']</t>
  </si>
  <si>
    <t>bioshock infinite</t>
  </si>
  <si>
    <t>['Action', 'First-Person', 'Shooter', 'FPS', 'Singleplayer', 'Story Rich', 'RPG', 'Adventure', 'Fantasy', 'Sci-fi', 'Atmospheric', 'Gore', 'Alternate History', 'Dystopian', 'Steampunk', 'Immersive', 'Time Travel', 'Linear', 'Combat', 'Dark']</t>
  </si>
  <si>
    <t>borderlands 2</t>
  </si>
  <si>
    <t>['Loot', 'Shooter', 'Action', 'Multiplayer', 'Co-op', 'Looter Shooter', 'FPS', 'RPG', 'First-Person', 'Funny', 'Comedy', 'Open World', 'Combat', 'Online Co-Op', 'Adventure', 'Action RPG', 'Dark Humor', 'Singleplayer', 'Memes', 'Sci-fi']</t>
  </si>
  <si>
    <t>death road to canada</t>
  </si>
  <si>
    <t>Rocketcat Games</t>
  </si>
  <si>
    <t>['Zombies', 'Pixel Graphics', 'Action Roguelike', 'Local Co-Op', 'Survival', 'Action', 'Roguelike', 'Character Customization', 'Indie', 'Comedy', 'Great Soundtrack', 'RPG', 'Multiplayer', 'Replay Value', 'Co-op', '2D', 'Funny', 'Difficult', 'Roguelite', 'Memes']</t>
  </si>
  <si>
    <t>heat signature</t>
  </si>
  <si>
    <t>Suspicious Developments</t>
  </si>
  <si>
    <t>['Space', 'Stealth', 'Indie', 'Top-Down', 'Roguelike', 'Action', 'Strategy', 'Sci-fi', 'Procedural Generation', 'Real-Time with Pause', 'Roguelite', 'Singleplayer', 'Adventure', '2D', 'Tactical', 'Perma Death', 'Top-Down Shooter', 'Open World', 'Bullet Time', 'Action Roguelike']</t>
  </si>
  <si>
    <t>into the breach</t>
  </si>
  <si>
    <t>['Strategy', 'Turn-Based Strategy', 'Indie', 'Pixel Graphics', 'Turn-Based Tactics', 'Mechs', 'Roguelike', 'Turn-Based', 'Puzzle', 'Roguelite', 'Sci-fi', 'Singleplayer', 'Tactical', 'Turn-Based Combat', 'Isometric', 'RPG', 'Replay Value', 'Procedural Generation', 'Simulation', 'Great Soundtrack']</t>
  </si>
  <si>
    <t>tropico 4</t>
  </si>
  <si>
    <t>Kalypso Media Digital</t>
  </si>
  <si>
    <t>['City Builder', 'Simulation', 'Strategy', 'Management', 'Comedy', 'Sandbox', 'Singleplayer', 'Great Soundtrack', 'Economy', 'Real-Time with Pause', 'Politics', 'Building', 'Resource Management', 'Political', 'Funny', 'Cold War', 'RTS', 'Atmospheric', 'Capitalism', 'God Game']</t>
  </si>
  <si>
    <t>bioshock 2</t>
  </si>
  <si>
    <t>['FPS', 'Action', 'Singleplayer', 'Story Rich', 'Atmospheric', 'Horror', 'First-Person', 'Shooter', 'Steampunk', 'Sci-fi', 'Underwater', 'Dystopian', 'Multiplayer', 'Adventure', 'Immersive', 'RPG', 'Dark', 'Great Soundtrack', 'Philosophical', 'Action RPG']</t>
  </si>
  <si>
    <t>bioshock remastered</t>
  </si>
  <si>
    <t>['FPS', 'Story Rich', 'Atmospheric', 'Horror', 'Singleplayer', 'First-Person', 'Action', 'Dystopian', 'Shooter', 'Underwater', 'Sci-fi', 'Steampunk', 'Dark', 'Classic', 'Adventure', 'Great Soundtrack', 'Immersive Sim', 'Alternate History', 'RPG', 'Remake']</t>
  </si>
  <si>
    <t>assassin's creed iv black flag</t>
  </si>
  <si>
    <t>Ubisoft</t>
  </si>
  <si>
    <t>['Pirates', 'Open World', 'Assassins', 'Adventure', 'Action', 'Stealth', 'Parkour', 'Third Person', 'Naval', 'Multiplayer', 'Historical', 'Story Rich', 'Singleplayer', 'Exploration', 'Naval Combat', 'Action-Adventure', 'Atmospheric', 'RPG', 'Action RPG', 'Co-op']</t>
  </si>
  <si>
    <t>batman arkham origins</t>
  </si>
  <si>
    <t>Warner Bros. Interactive Entertainment</t>
  </si>
  <si>
    <t>['Action', 'Open World', 'Superhero', 'Adventure', 'Stealth', 'Third Person', 'Singleplayer', 'Multiplayer', 'Fighting', "Beat 'em up", 'Comic Book', 'Detective', 'Story Rich', 'Atmospheric', 'Action-Adventure', 'Controller', 'Sandbox', 'Third-Person Shooter', 'RPG', 'Co-op']</t>
  </si>
  <si>
    <t>deus ex human revolution director's cut</t>
  </si>
  <si>
    <t>['Cyberpunk', 'Stealth', 'RPG', 'Sci-fi', 'FPS', 'Action', 'Singleplayer', 'Story Rich', 'Great Soundtrack', 'Transhumanism', 'Dystopian', 'First-Person', 'Atmospheric', 'Immersive Sim', 'Adventure', 'Inventory Management', 'Immersive', 'Shooter', 'Futuristic', 'Replay Value']</t>
  </si>
  <si>
    <t>dragon's dogma dark arisen</t>
  </si>
  <si>
    <t>['RPG', 'Open World', 'Character Customization', 'Fantasy', 'Action', 'Adventure', 'Singleplayer', 'Action RPG', 'Dragons', 'Dark Fantasy', 'Third Person', 'Magic', 'Exploration', 'Atmospheric', 'Great Soundtrack', 'Story Rich', 'Difficult', 'Multiplayer', 'JRPG', 'Hack and Slash']</t>
  </si>
  <si>
    <t>paladins</t>
  </si>
  <si>
    <t>Hi-Rez Studios</t>
  </si>
  <si>
    <t>['Hero Shooter', 'Free to Play', 'Multiplayer', 'FPS', 'Shooter', 'Action', 'Team-Based', 'First-Person', 'PvP', 'MOBA', 'Online Co-Op', 'Fantasy', 'Controller', 'Strategy', 'Co-op', 'Character Customization', 'Massively Multiplayer', 'Colorful', 'Adventure', 'Funny']</t>
  </si>
  <si>
    <t>besiege</t>
  </si>
  <si>
    <t>Spiderling Studios</t>
  </si>
  <si>
    <t>['Simulation', 'Sandbox', 'Physics', 'Destruction', 'Medieval', 'Building', 'Moddable', 'Multiplayer', 'PvE', 'PvP', 'Puzzle', 'Replay Value', 'Vehicular Combat', 'Level Editor', 'Flight', 'Naval Combat', '3D', 'Dark Humor', 'Strategy', 'Wargame']</t>
  </si>
  <si>
    <t>the deed dynasty</t>
  </si>
  <si>
    <t>GrabTheGames</t>
  </si>
  <si>
    <t>['Adventure', 'Crime', 'Indie', 'Story Rich', 'Atmospheric', 'Choices Matter', 'RPG', 'Singleplayer', 'Detective', 'Puzzle', 'Choose Your Own Adventure', 'Visual Novel', 'Mystery', 'Family Friendly', 'Sexual Content', 'Historical', '2D', 'Simulation', 'Surreal', 'Difficult']</t>
  </si>
  <si>
    <t>pyre</t>
  </si>
  <si>
    <t>['Indie', 'RPG', 'Great Soundtrack', 'Story Rich', 'Action', 'Visual Novel', 'Atmospheric', 'Fantasy', 'Hand-drawn', 'Choices Matter', 'Singleplayer', 'Colorful', 'Adventure', 'Party-Based RPG', 'Local Multiplayer', 'Lore-Rich', 'Multiple Endings', 'Interactive Fiction', 'Stylized', 'Music']</t>
  </si>
  <si>
    <t>dishonored 2</t>
  </si>
  <si>
    <t>['Stealth', 'First-Person', 'Assassins', 'Action', 'Singleplayer', 'Steampunk', 'Story Rich', 'Atmospheric', 'Female Protagonist', 'Magic', 'Parkour', 'Supernatural', 'Open World', 'Adventure', 'Immersive Sim', 'Exploration', 'Gore', 'Great Soundtrack', 'Heist', 'Dystopian']</t>
  </si>
  <si>
    <t>mega man 11</t>
  </si>
  <si>
    <t>CAPCOM CO., LTD.</t>
  </si>
  <si>
    <t>['Action', 'Platformer', 'Side Scroller', 'Classic', 'Difficult', 'Singleplayer', 'Robots', 'Great Soundtrack', '2.5D', '2D', 'Retro', 'Adventure', 'Anime', 'Shooter', 'Sci-fi', '2D Platformer', 'Action-Adventure', 'Cute', 'Colorful', 'Arcade']</t>
  </si>
  <si>
    <t>ace combat 7 skies unknown</t>
  </si>
  <si>
    <t>Bandai Namco Entertainment</t>
  </si>
  <si>
    <t>['Flight', 'Military', 'War', 'Arcade', 'Shooter', 'Cinematic', '3D', 'Multiplayer', 'PvP', 'Action', 'Simulation', 'First-Person', 'Story Rich', 'Third Person', 'Great Soundtrack', 'Singleplayer', 'Silent Protagonist', 'Sci-fi', 'Realistic', 'VR']</t>
  </si>
  <si>
    <t>metro 2033 redux</t>
  </si>
  <si>
    <t>['Post-apocalyptic', 'FPS', 'Atmospheric', 'Story Rich', 'Horror', 'Action', 'Singleplayer', 'First-Person', 'Shooter', 'Stealth', 'Survival Horror', 'Based On A Novel', 'Multiplayer', 'Survival', 'Adventure', 'Remake', 'Gore', 'Classic', 'Open World', 'Co-op']</t>
  </si>
  <si>
    <t>metro last light redux</t>
  </si>
  <si>
    <t>['Post-apocalyptic', 'FPS', 'Atmospheric', 'Action', 'Story Rich', 'Horror', 'Singleplayer', 'First-Person', 'Shooter', 'Stealth', 'Survival', 'Based On A Novel', 'Adventure', 'Survival Horror', 'Nudity', 'Remake', 'Sci-fi', 'Multiplayer', 'Difficult', 'Open World']</t>
  </si>
  <si>
    <t>content warning</t>
  </si>
  <si>
    <t>Evil Landfall?</t>
  </si>
  <si>
    <t>['Horror', 'Online Co-Op', 'Procedural Generation', 'Exploration', 'Action Roguelike', 'Multiplayer', 'Comedy', 'Physics', 'Co-op', 'Funny', 'First-Person', 'Psychological Horror', 'Survival Horror', 'Atmospheric', 'Post-apocalyptic', 'Adventure', '3D', 'Time Management', 'Investigation', 'Mystery']</t>
  </si>
  <si>
    <t>the messenger</t>
  </si>
  <si>
    <t>['Retro', 'Platformer', 'Pixel Graphics', 'Metroidvania', 'Ninja', '2D', 'Great Soundtrack', 'Indie', 'Action', '2D Platformer', 'Singleplayer', 'Funny', 'Action-Adventure', 'Difficult', 'Time Travel', 'Adventure', 'Side Scroller', 'Comedy', 'Beautiful', 'Epic']</t>
  </si>
  <si>
    <t>tom clancy's rainbow six siege</t>
  </si>
  <si>
    <t>['FPS', 'PvP', 'Multiplayer', 'Shooter', 'Tactical', 'eSports', 'Competitive', 'Online Co-Op', 'Action', 'Hero Shooter', 'Team-Based', 'Military', 'Strategy', 'First-Person', 'Co-op', 'Realistic', 'Destruction', 'War', 'Difficult', '3D']</t>
  </si>
  <si>
    <t xml:space="preserve">nier:automata </t>
  </si>
  <si>
    <t>['Hack and Slash', 'RPG', 'Great Soundtrack', 'Story Rich', 'Female Protagonist', 'Action', 'Spectacle fighter', 'Open World', 'JRPG', 'Anime', 'Post-apocalyptic', 'Singleplayer', 'Robots', 'Atmospheric', 'Sci-fi', 'Nudity', 'Adventure', 'Bullet Hell', 'Character Action Game', 'Violent']</t>
  </si>
  <si>
    <t>broken age</t>
  </si>
  <si>
    <t>['Point &amp; Click', 'Adventure', 'Story Rich', 'Comedy', 'Indie', 'Funny', 'Singleplayer', 'Great Soundtrack', 'Puzzle', 'Casual', 'Female Protagonist', '2D', 'Classic', 'Retro', 'Sci-fi', 'Episodic', 'Short', 'Escape Room', 'Hand-drawn', 'Touch-Friendly']</t>
  </si>
  <si>
    <t>age of empires definitive edition</t>
  </si>
  <si>
    <t>Xbox Game Studios</t>
  </si>
  <si>
    <t>['Strategy', 'RTS', 'Multiplayer', 'Singleplayer', 'Base Building', 'City Builder', 'Historical', 'Classic', 'Remake', 'Real-Time', 'Medieval', 'Co-op', 'Story Rich', 'Great Soundtrack', 'War', 'Action', 'Isometric', 'Retro', "1990's", 'Building']</t>
  </si>
  <si>
    <t>hiveswap act 1</t>
  </si>
  <si>
    <t>What Pumpkin Games, Inc.</t>
  </si>
  <si>
    <t>['Adventure', 'Point &amp; Click', 'Great Soundtrack', 'RPG', 'Indie', 'Memes', 'Female Protagonist', 'Aliens', 'Story Rich', 'Cute', '2D', 'Singleplayer', 'Puzzle', 'Atmospheric', 'Exploration', 'Sci-fi', 'Colorful', 'Family Friendly', 'Difficult', 'Psychological Horror']</t>
  </si>
  <si>
    <t>resident evil</t>
  </si>
  <si>
    <t>['Survival Horror', 'Zombies', 'Horror', 'Classic', 'Remake', 'Atmospheric', 'Singleplayer', 'Puzzle', 'Survival', 'Adventure', 'Third Person', 'Action', 'Female Protagonist', 'Story Rich', 'Difficult', 'Gore', 'Shooter', 'Great Soundtrack', 'Third-Person Shooter', 'Co-op']</t>
  </si>
  <si>
    <t>dark souls iii</t>
  </si>
  <si>
    <t>FromSoftware, Inc.</t>
  </si>
  <si>
    <t>['Souls-like', 'Dark Fantasy', 'Difficult', 'RPG', 'Atmospheric', 'Lore-Rich', 'Third Person', 'Exploration', 'Story Rich', 'Action RPG', 'Co-op', 'Great Soundtrack', 'Adventure', 'Action', 'Multiplayer', 'PvP', 'Open World', 'Singleplayer', 'Character Customization', 'Replay Value']</t>
  </si>
  <si>
    <t>darksiders</t>
  </si>
  <si>
    <t>['Action', 'Adventure', 'Hack and Slash', 'Third Person', 'Singleplayer', 'Post-apocalyptic', 'Fantasy', 'Controller', 'Action RPG', 'Puzzle', 'Action-Adventure', 'Gore', 'Open World', 'RPG', 'Spectacle fighter', '3D Platformer', "Beat 'em up", 'Metroidvania', 'Character Action Game', 'Platformer']</t>
  </si>
  <si>
    <t>darksiders warmastered edition</t>
  </si>
  <si>
    <t>['Action', 'Hack and Slash', 'Adventure', 'Third Person', 'Dark Fantasy', 'Singleplayer', 'RPG', 'Violent', 'Puzzle', 'Gore', 'Fantasy', 'Demons', 'Post-apocalyptic', 'Open World', 'Story Rich', 'Metroidvania', 'Controller', 'Remake', 'Difficult', 'Action RPG']</t>
  </si>
  <si>
    <t>death's gambit afterlife</t>
  </si>
  <si>
    <t>Serenity Forge</t>
  </si>
  <si>
    <t>['Souls-like', 'Metroidvania', 'Pixel Graphics', 'RPG', 'Dark Fantasy', 'Action', '2D', 'Indie', 'Adventure', 'Platformer', 'Difficult', 'Action RPG', 'Singleplayer', 'Side Scroller', 'Atmospheric', 'Great Soundtrack', 'Fantasy', 'Story Rich', 'Controller', 'Replay Value']</t>
  </si>
  <si>
    <t>devil may cry 4 special edition</t>
  </si>
  <si>
    <t>['Action', 'Hack and Slash', 'Character Action Game', 'Great Soundtrack', 'Singleplayer', 'Spectacle fighter', 'Third Person', 'Stylized', 'Difficult', 'Classic', 'Story Rich', 'Anime', 'Adventure', 'Atmospheric', "Beat 'em up", 'Replay Value', 'Controller', 'Female Protagonist', 'Remake', 'Demons']</t>
  </si>
  <si>
    <t>elden ring</t>
  </si>
  <si>
    <t>['Souls-like', 'Open World', 'Dark Fantasy', 'RPG', 'Difficult', 'Action RPG', 'Multiplayer', 'Third Person', 'Fantasy', 'Singleplayer', 'Online Co-Op', 'Action', 'Co-op', 'Atmospheric', 'Great Soundtrack', 'PvP', 'Violent', '3D', 'Character Customization', 'Family Friendly']</t>
  </si>
  <si>
    <t>metal gear solid v the phantom pain</t>
  </si>
  <si>
    <t>['Stealth', 'Open World', 'Action', 'Story Rich', 'Tactical', 'Cinematic', 'Third Person', 'Great Soundtrack', 'Singleplayer', 'Atmospheric', 'Adventure', 'Horses', 'Third-Person Shooter', 'Multiplayer', 'Shooter', 'Replay Value', 'Sandbox', 'Dark', 'Sci-fi', 'Heist']</t>
  </si>
  <si>
    <t>rebuild 3 gangs of deadsville</t>
  </si>
  <si>
    <t>Northway Games</t>
  </si>
  <si>
    <t>['Colony Sim', 'Survival', '4X', 'Strategy', 'Post-apocalyptic', 'RPG', 'City Builder', 'Zombies', 'Choices Matter', 'Turn-Based Strategy', 'Base Building', 'Building', 'Sandbox', 'Management', 'Simulation', 'Story Rich', 'Outbreak Sim', 'Survival Horror', '2D', 'Real-Time with Pause']</t>
  </si>
  <si>
    <t>danganronpa v3 killing harmony</t>
  </si>
  <si>
    <t>['Visual Novel', 'Detective', 'Female Protagonist', 'Anime', 'Story Rich', 'Mystery', 'Great Soundtrack', 'Singleplayer', 'Psychological Horror', 'Dark Humor', 'Horror', 'Puzzle', 'Adventure', 'Dark Comedy', 'Dark', 'Atmospheric', 'Funny', 'Dating Sim', 'Memes', 'Comedy']</t>
  </si>
  <si>
    <t>dark souls remastered</t>
  </si>
  <si>
    <t>['Souls-like', 'Dark Fantasy', 'RPG', 'Difficult', 'Action', 'Dark', 'Fantasy', 'Atmospheric', 'Great Soundtrack', 'Action RPG', 'Lore-Rich', 'Adventure', 'Multiplayer', 'Exploration', 'Third Person', 'Story Rich', 'Replay Value', 'Character Customization', 'Soundtrack', 'Co-op']</t>
  </si>
  <si>
    <t>dark souls ii scholar of the first sin</t>
  </si>
  <si>
    <t>['Souls-like', 'Dark Fantasy', 'RPG', 'Difficult', 'Action', 'Third Person', 'Atmospheric', 'Action RPG', 'Character Customization', 'Co-op', 'Multiplayer', 'Fantasy', 'Adventure', 'Medieval', 'Dark', 'Singleplayer', 'Lore-Rich', 'Story Rich', 'PvP', 'Remake']</t>
  </si>
  <si>
    <t>elden ring nightreign</t>
  </si>
  <si>
    <t>['Souls-like', 'Online Co-Op', 'Multiplayer', 'Roguelike', 'Co-op', 'Singleplayer', 'PvE', 'Action', 'Third Person', 'Roguelite', 'Action RPG', 'Open World', 'RPG', 'Dark', 'Violent', '3D', 'Survival', 'Lore-Rich', 'Story Rich', 'Dating Sim']</t>
  </si>
  <si>
    <t>omnibus</t>
  </si>
  <si>
    <t>['Indie', 'Racing', 'Action', 'Adventure', 'Simulation', 'Casual', 'Physics', 'Funny', 'Automobile Sim', 'Difficult', 'Multiplayer', 'Driving', 'Local Multiplayer', 'Psychological Horror', 'Destruction']</t>
  </si>
  <si>
    <t>stories the path of destinies</t>
  </si>
  <si>
    <t>Spearhead Games</t>
  </si>
  <si>
    <t>['Adventure', 'RPG', 'Action', 'Choices Matter', 'Indie', 'Fantasy', 'Dynamic Narration', 'Hack and Slash', 'Multiple Endings', 'Action RPG', 'Singleplayer', 'Colorful', 'Swordplay', 'Great Soundtrack', 'Story Rich', 'Isometric', 'Funny', 'Foxes', 'Action-Adventure', 'Comedy']</t>
  </si>
  <si>
    <t>the escapists</t>
  </si>
  <si>
    <t>Team17</t>
  </si>
  <si>
    <t>['Pixel Graphics', 'Strategy', 'Crafting', 'Singleplayer', '2D', 'Simulation', 'Indie', 'Action', 'Difficult', 'Survival', 'Adventure', 'Puzzle', 'RPG', 'Top-Down', 'Multiplayer', 'Sandbox', 'Funny', 'Comedy', 'Co-op', 'Roguelike']</t>
  </si>
  <si>
    <t>final fantasy vii (2013)</t>
  </si>
  <si>
    <t>['JRPG', 'RPG', 'Classic', 'Turn-Based', 'Story Rich', 'Singleplayer', 'Great Soundtrack', 'Fantasy', 'Retro', 'Adventure', 'Party-Based RPG', 'Sci-fi', 'Epic', 'Open World', 'Cyberpunk', 'Atmospheric', 'Dystopian', "1990's", 'Exploration', 'Strategy']</t>
  </si>
  <si>
    <t>manual samuel last tuesday edition</t>
  </si>
  <si>
    <t>['Dark Humor', 'Singleplayer', 'Local Co-Op', 'Adventure', 'Funny', 'Indie', 'Dark Comedy', 'Physics', 'Difficult', 'Comedy', '2D', 'Intentionally Awkward Controls', 'Cartoony', 'Multiplayer', 'Controller', 'Casual', 'Walking Simulator']</t>
  </si>
  <si>
    <t>way of the passive fist</t>
  </si>
  <si>
    <t>Household Games Inc.</t>
  </si>
  <si>
    <t>['Action', 'Indie', "Beat 'em up", 'Pixel Graphics', 'Arcade', '2D']</t>
  </si>
  <si>
    <t>20 minutes till dawn</t>
  </si>
  <si>
    <t>flanne</t>
  </si>
  <si>
    <t>['Action Roguelike', 'Bullet Hell', 'Survival', 'Roguelite', "Shoot 'Em Up", 'Horror', 'Top-Down Shooter', 'Combat', 'Pixel Graphics', 'Lovecraftian', 'Singleplayer', 'Casual', 'Strategy', 'Action', 'Bullet Heaven', 'RPG', 'Gun Customization', 'Controller', 'Score Attack', 'Dark Fantasy']</t>
  </si>
  <si>
    <t>sekiro shadows die twice</t>
  </si>
  <si>
    <t>Activision (Excluding Japan and Asia)</t>
  </si>
  <si>
    <t>['Souls-like', 'Difficult', 'Action', 'Singleplayer', 'Ninja', 'Stealth', 'Adventure', 'Third Person', 'Open World', 'Story Rich', 'Assassins', 'Violent', 'Atmospheric', 'Hack and Slash', 'Dark Fantasy', 'RPG', 'Gore', 'Great Soundtrack', 'Rhythm', 'Dark']</t>
  </si>
  <si>
    <t>worms revolution</t>
  </si>
  <si>
    <t>Team17 Digital Ltd</t>
  </si>
  <si>
    <t>['Strategy', 'Multiplayer', 'Funny', 'Turn-Based Strategy', 'Turn-Based', 'Local Multiplayer', 'Comedy', 'Local Co-Op', 'Physics', 'Singleplayer', 'Tactical', 'Action', '2.5D', 'Co-op', 'Team-Based', 'Family Friendly', 'Classic', 'Side Scroller', '4 Player Local', '2D']</t>
  </si>
  <si>
    <t>among us</t>
  </si>
  <si>
    <t>Innersloth</t>
  </si>
  <si>
    <t>['Multiplayer', 'Social Deduction', 'Online Co-Op', 'Space', 'Survival', '2D', 'Funny', 'Party Game', 'Psychological', 'Co-op', 'Cartoony', 'Local Multiplayer', 'Casual', 'PvP', 'Action', 'Minigames', 'Sci-fi', 'Aliens', 'Colorful', 'Top-Down']</t>
  </si>
  <si>
    <t>furi</t>
  </si>
  <si>
    <t>The Game Bakers</t>
  </si>
  <si>
    <t>['Bullet Hell', 'Hack and Slash', 'Difficult', 'Boss Rush', "Beat 'em up", "Shoot 'Em Up", 'Top-Down', 'Sci-fi', 'Third Person', 'Atmospheric', 'Action', 'Fast-Paced', 'Controller', 'Cyberpunk', 'Story Rich', 'Singleplayer', 'Violent', 'Replay Value', 'Great Soundtrack', 'Indie']</t>
  </si>
  <si>
    <t>mother russia bleeds</t>
  </si>
  <si>
    <t>["Beat 'em up", 'Gore', 'Violent', 'Action', 'Pixel Graphics', 'Great Soundtrack', 'Indie', 'Co-op', 'Local Co-Op', '2D', 'Retro', 'Atmospheric', 'Multiplayer', '4 Player Local', 'Difficult', 'Psychological Horror', 'Female Protagonist', 'Nudity', 'Sexual Content', 'Memes']</t>
  </si>
  <si>
    <t>super time force ultra</t>
  </si>
  <si>
    <t>Capybara Games</t>
  </si>
  <si>
    <t>['Side Scroller', 'Time Manipulation', 'Bullet Hell', '2D Platformer', 'Pixel Graphics', "Shoot 'Em Up", 'Puzzle Platformer', 'PvE', 'Difficult', 'Platformer', 'Shooter', 'Arcade', 'Action-Adventure', 'Strategy', '2D', 'Funny', 'Puzzle', 'Dinosaurs', 'Parody', 'Retro']</t>
  </si>
  <si>
    <t>ark survival evolved</t>
  </si>
  <si>
    <t>['Open World Survival Craft', 'Survival', 'Multiplayer', 'Open World', 'Dinosaurs', 'Crafting', 'Building', 'Adventure', 'Base Building', 'Co-op', 'Action', 'Sandbox', 'First-Person', 'Massively Multiplayer', 'Singleplayer', 'Early Access', 'Dragons', 'RPG', 'Sci-fi', 'Indie']</t>
  </si>
  <si>
    <t>planet coaster</t>
  </si>
  <si>
    <t>Frontier Developments</t>
  </si>
  <si>
    <t>['Simulation', 'Building', 'Management', 'Sandbox', 'Family Friendly', 'Relaxing', 'Strategy', 'Singleplayer', 'Economy', 'Realistic', 'Funny', 'Great Soundtrack', 'Atmospheric', 'Colorful', 'Third Person', 'City Builder', 'Casual', 'Multiplayer', '3D', 'God Game']</t>
  </si>
  <si>
    <t>dropsy</t>
  </si>
  <si>
    <t>['Point &amp; Click', 'Adventure', '2D', 'Great Soundtrack', 'Pixel Graphics', 'Indie', 'Surreal', 'Story Rich', 'Cute', 'Singleplayer', 'Atmospheric', 'Puzzle', 'Dark', 'Open World', 'Casual', 'Psychedelic', 'Survival Horror', 'Colorful', 'Cartoony']</t>
  </si>
  <si>
    <t>jet set radio</t>
  </si>
  <si>
    <t>['Great Soundtrack', 'Classic', 'Action', '3D Platformer', 'Singleplayer', 'Colorful', 'Platformer', 'Stylized', 'Arcade', 'Parkour', 'Third Person', 'Music', 'Controller', 'Skating', 'Retro', 'Atmospheric', 'Sports', 'Open World', 'Anime', 'Female Protagonist']</t>
  </si>
  <si>
    <t>splitgate</t>
  </si>
  <si>
    <t>1047 Games</t>
  </si>
  <si>
    <t>['Free to Play', 'FPS', 'Multiplayer', 'Arena Shooter', 'Shooter', 'Action', 'Fast-Paced', 'PvP', 'First-Person', 'Competitive', 'Sci-fi', 'Indie', 'Team-Based', 'eSports', 'Tactical', 'Strategy', 'Online Co-Op', 'Physics', 'Co-op', 'Violent']</t>
  </si>
  <si>
    <t>strider</t>
  </si>
  <si>
    <t>['Platformer', 'Metroidvania', 'Action', 'Ninja', 'Side Scroller', 'Hack and Slash', 'Reboot', '2.5D', 'Arcade', 'Adventure', 'Retro', 'Classic', 'Remake', 'Singleplayer', 'Fast-Paced', 'Sci-fi', 'Controller', '2D', 'Anime', 'Cyberpunk']</t>
  </si>
  <si>
    <t>assault android cactus</t>
  </si>
  <si>
    <t>Witch Beam</t>
  </si>
  <si>
    <t>['Bullet Hell', 'Twin Stick Shooter', "Shoot 'Em Up", 'Difficult', 'Shooter', 'Female Protagonist', 'Arcade', 'Cute', 'Top-Down', '3D', 'Controller', 'Action', 'Sci-fi', 'Robots', '4 Player Local', 'Co-op', 'Local Co-Op', 'Local Multiplayer', 'Fast-Paced', 'Multiplayer']</t>
  </si>
  <si>
    <t>hotline miami 2 wrong number</t>
  </si>
  <si>
    <t>['Great Soundtrack', 'Gore', 'Pixel Graphics', 'Violent', 'Action', 'Fast-Paced', 'Difficult', 'Top-Down', 'Retro', 'Indie', '1980s', 'Singleplayer', 'Top-Down Shooter', 'Atmospheric', '2D', 'Shooter', 'Level Editor', 'Arcade', "1990's", 'Story Rich']</t>
  </si>
  <si>
    <t>stick fight the game</t>
  </si>
  <si>
    <t>Landfall</t>
  </si>
  <si>
    <t>['Multiplayer', 'Funny', 'Fighting', 'Local Multiplayer', 'Action', '2D Fighter', '4 Player Local', 'PvP', '2D', 'Physics', 'Casual', 'Online Co-Op', 'Local Co-Op', 'Indie', 'Shooter', 'Controller', 'Co-op', 'Split Screen', 'Great Soundtrack', 'Strategy']</t>
  </si>
  <si>
    <t>olliolli2 welcome to olliwood</t>
  </si>
  <si>
    <t>['Skateboarding', 'Indie', 'Sports', 'Action', 'Great Soundtrack', '4 Player Local', 'Local Multiplayer', 'Local Co-Op', 'Difficult', 'Skating', 'Singleplayer', '2D', 'Platformer']</t>
  </si>
  <si>
    <t>party hard</t>
  </si>
  <si>
    <t>tinyBuild</t>
  </si>
  <si>
    <t>['Pixel Graphics', 'Stealth', 'Strategy', 'Violent', 'Indie', 'Villain Protagonist', 'Action', 'Gore', 'Great Soundtrack', 'Singleplayer', 'Dark Humor', '2D', 'Crime', 'Retro', 'Difficult', 'Top-Down', 'Funny', 'Horror', 'Story Rich', 'Comedy']</t>
  </si>
  <si>
    <t>autonauts</t>
  </si>
  <si>
    <t>['Automation', 'Programming', 'Simulation', 'Indie', 'Casual', 'Base Building', 'Colony Sim', 'Crafting', 'Cute', 'Sandbox', 'Resource Management', 'Building', 'Farming Sim', 'Management', 'Agriculture', 'Relaxing', 'Strategy', 'Robots', 'Singleplayer', 'City Builder']</t>
  </si>
  <si>
    <t>superhot</t>
  </si>
  <si>
    <t>SUPERHOT Team</t>
  </si>
  <si>
    <t>['Action', 'FPS', 'Bullet Time', 'Time Manipulation', 'Indie', 'Singleplayer', 'First-Person', 'Shooter', 'Puzzle', 'Minimalist', 'Short', 'Difficult', 'Cyberpunk', 'Fast-Paced', 'Violent', 'Sci-fi', 'Casual', 'Gore', 'Adventure', 'Story Rich']</t>
  </si>
  <si>
    <t>warhammer vermintide 2</t>
  </si>
  <si>
    <t>Fatshark</t>
  </si>
  <si>
    <t>['Co-op', 'Dark Fantasy', 'Hack and Slash', 'Online Co-Op', 'Multiplayer', 'Dwarves', 'Gore', 'PvE', 'First-Person', 'Fantasy', 'RPG', 'Elves', 'Roguelite', 'Combat', 'Action RPG', 'Action', 'Atmospheric', 'FPS', 'Singleplayer', 'Adventure']</t>
  </si>
  <si>
    <t>death squared</t>
  </si>
  <si>
    <t>SMG Studio</t>
  </si>
  <si>
    <t>['Puzzle', 'Local Co-Op', 'Co-op', 'Funny', 'Sokoban', '4 Player Local', 'Minimalist', 'Family Friendly', 'Singleplayer', 'Casual', 'Indie', 'Local Multiplayer', 'Robots', 'Co-op Campaign', 'Artificial Intelligence', 'Controller', 'Difficult', 'Satire', 'Dark Humor', 'Dynamic Narration']</t>
  </si>
  <si>
    <t>mega man legacy collection</t>
  </si>
  <si>
    <t>['Platformer', 'Retro', 'Classic', 'Action', '2D', 'Pixel Graphics', 'Great Soundtrack', 'Difficult', 'Singleplayer', 'Side Scroller', 'Sci-fi', '1980s', 'Robots', "1990's", 'Remake', 'Shooter', 'Anime', 'Old School', 'Controller', '2D Platformer']</t>
  </si>
  <si>
    <t>void bastards</t>
  </si>
  <si>
    <t>Blue Manchu</t>
  </si>
  <si>
    <t>['FPS', 'Action Roguelike', 'Singleplayer', 'Shooter', 'Extraction Shooter', 'Roguelike', 'Immersive Sim', 'Stealth', 'Comic Book', 'First-Person', 'Procedural Generation', 'Strategy', 'Stylized', 'Space', 'Sci-fi', 'Action', 'Crafting', 'Indie', 'Roguelite', 'Gore']</t>
  </si>
  <si>
    <t>ape out</t>
  </si>
  <si>
    <t>['Violent', 'Gore', 'Indie', 'Top-Down', 'Action', 'Fast-Paced', 'Singleplayer', 'Stylized', 'Difficult', "Beat 'em up", 'Music', '2D', 'Arcade', 'Top-Down Shooter', 'Music-Based Procedural Generation', 'Atmospheric', 'Casual', 'Soundtrack', 'Surreal', 'Great Soundtrack']</t>
  </si>
  <si>
    <t>invisible inc.</t>
  </si>
  <si>
    <t>['Cyberpunk', 'Turn-Based Tactics', 'Difficult', 'Isometric', 'Strategy', 'Stealth', 'Tactical RPG', 'Roguelite', 'Sci-fi', 'Tactical', 'Turn-Based', 'Perma Death', 'Roguelike', 'Procedural Generation', 'Female Protagonist', 'Choices Matter', 'Turn-Based Strategy', 'Turn-Based Combat', 'Simulation', 'Singleplayer']</t>
  </si>
  <si>
    <t>little nightmares</t>
  </si>
  <si>
    <t>['Horror', 'Atmospheric', 'Adventure', 'Singleplayer', 'Puzzle Platformer', 'Dark', 'Puzzle', 'Indie', 'Story Rich', 'Stealth', 'Psychological Horror', 'Platformer', 'Great Soundtrack', '2.5D', 'Survival Horror', 'Third Person', 'Multiplayer', 'Female Protagonist', 'Short', 'Action']</t>
  </si>
  <si>
    <t>little nightmares enhanced edition</t>
  </si>
  <si>
    <t>['Adventure', 'Puzzle', 'Platformer', 'Puzzle Platformer', '2.5D', 'Horror', 'Atmospheric', 'Dark', 'Third Person', 'Psychological Horror', 'Singleplayer', 'Stealth', 'Story Rich', 'Survival Horror', 'Female Protagonist', 'Short']</t>
  </si>
  <si>
    <t>poly bridge</t>
  </si>
  <si>
    <t>Dry Cactus</t>
  </si>
  <si>
    <t>['Building', 'Physics', 'Simulation', 'Puzzle', 'Singleplayer', 'Sandbox', 'Difficult', 'Indie', 'Family Friendly', 'Funny', 'Level Editor', 'Education', 'Great Soundtrack', 'Crafting', 'Cartoon', 'Colorful', 'Cute', 'Stylized', 'Strategy', 'Choices Matter']</t>
  </si>
  <si>
    <t>gnog</t>
  </si>
  <si>
    <t>KO_OP</t>
  </si>
  <si>
    <t>['Indie', 'Casual', 'Adventure', 'Puzzle', 'VR', 'Colorful', 'Point &amp; Click', 'Great Soundtrack', 'Singleplayer', 'Short']</t>
  </si>
  <si>
    <t>manyland</t>
  </si>
  <si>
    <t>Anyland + Manyland</t>
  </si>
  <si>
    <t>['Massively Multiplayer', 'Indie', 'Adventure', 'Action', 'Sandbox', 'Pixel Graphics', '2D', 'Open World']</t>
  </si>
  <si>
    <t>regular human basketball</t>
  </si>
  <si>
    <t>['Mechs', 'Basketball', 'Funny', 'Party Game', 'Local Multiplayer', 'Multiplayer', 'Sports', 'Comedy', 'Indie', 'Local Co-Op', 'Online Co-Op', '4 Player Local', 'Competitive', 'Transhumanism', 'Controller', 'Action', 'Platformer', '2D Platformer', 'Split Screen', '2D']</t>
  </si>
  <si>
    <t>shovel knight specter of torment</t>
  </si>
  <si>
    <t>Yacht Club Games</t>
  </si>
  <si>
    <t>['Action', 'Indie', 'Adventure', 'Platformer', 'Pixel Graphics', '2D', 'Retro', 'Singleplayer', 'Great Soundtrack', 'Side Scroller', 'Metroidvania', 'Difficult']</t>
  </si>
  <si>
    <t>the red strings club</t>
  </si>
  <si>
    <t>['Cyberpunk', 'Pixel Graphics', 'Story Rich', 'Choices Matter', 'Great Soundtrack', 'Atmospheric', 'Indie', 'Adventure', 'LGBTQ+', 'Point &amp; Click', 'Singleplayer', 'Visual Novel', 'Sci-fi', '2D', 'Nudity', 'Dystopian', 'Philosophical', 'Violent', 'Puzzle', 'Retro']</t>
  </si>
  <si>
    <t>wizard of legend</t>
  </si>
  <si>
    <t>Contingent99</t>
  </si>
  <si>
    <t>['Action Roguelike', 'Pixel Graphics', 'Roguelike', 'Dungeon Crawler', 'Local Co-Op', 'Magic', 'Action', 'Multiplayer', 'Roguelite', 'Adventure', 'Co-op', 'Indie', 'Difficult', 'Local Multiplayer', 'Hack and Slash', '2D', 'Singleplayer', 'RPG', 'Procedural Generation', 'Fast-Paced']</t>
  </si>
  <si>
    <t>dig or die</t>
  </si>
  <si>
    <t>Gaddy Games</t>
  </si>
  <si>
    <t>['Survival', 'Open World Survival Craft', 'Sandbox', 'Crafting', '2D', 'Open World', 'Indie', 'Strategy', 'Action', 'Tower Defense', 'Multiplayer', 'Building', 'Base Building', 'Co-op', 'Physics', 'Pixel Graphics', 'RPG', 'Singleplayer', 'Adventure', 'Early Access']</t>
  </si>
  <si>
    <t>framed collection</t>
  </si>
  <si>
    <t>['Puzzle', 'Casual', 'Indie', 'Comic Book', 'Adventure', 'Noir', 'Singleplayer', 'Minimalist', 'Touch-Friendly', 'Heist', 'Family Friendly', 'Point &amp; Click', 'Great Soundtrack', 'Strategy', '2D', 'Cartoon', 'Music', 'Puzzle Platformer', 'Platformer', 'Addictive']</t>
  </si>
  <si>
    <t>heavy bullets</t>
  </si>
  <si>
    <t>['Indie', 'Action', 'FPS', 'Action Roguelike', 'Roguelike', 'Roguelite', 'Shooter', 'Singleplayer', 'First-Person', 'Difficult', 'Retro', 'Dungeon Crawler', 'Perma Death', 'Psychedelic', 'Horror', 'Colorful', 'Boomer Shooter', 'Procedural Generation', 'Bullet Hell', 'Adventure']</t>
  </si>
  <si>
    <t>not a hero</t>
  </si>
  <si>
    <t>['Pixel Graphics', 'Action', 'Indie', 'Comedy', 'Adventure', 'Shooter', 'Gore', '2D', 'Funny', 'Political', 'Great Soundtrack', 'Singleplayer', 'Violent', 'Platformer', 'Difficult', 'Fast-Paced', "Shoot 'Em Up", 'Retro', 'Multiplayer']</t>
  </si>
  <si>
    <t>the gardens between</t>
  </si>
  <si>
    <t>The Voxel Agents</t>
  </si>
  <si>
    <t>['Puzzle Platformer', 'Hidden Object', 'Puzzle', 'Walking Simulator', 'Female Protagonist', '3D', 'Relaxing', 'Surreal', 'Linear', 'Story Rich', 'Time Manipulation', 'Stylized', 'Minimalist', 'Family Friendly', 'Logic', 'Time Travel', 'Atmospheric', 'Emotional', 'Mystery', 'Adventure']</t>
  </si>
  <si>
    <t>tower of guns</t>
  </si>
  <si>
    <t>Terrible Posture Games</t>
  </si>
  <si>
    <t>['Boomer Shooter', 'Replay Value', 'Bullet Heaven', 'Comic Book', 'First-Person', 'Action', 'Shooter', 'Indie', 'Fast-Paced', 'Stylized', 'Difficult', 'FPS', 'Singleplayer', 'Action Roguelike', 'Roguelite', 'Procedural Generation', 'Roguelike', 'Sci-fi', 'Perma Death', 'Comedy']</t>
  </si>
  <si>
    <t>metal gear solid v ground zeroes</t>
  </si>
  <si>
    <t>['Stealth', 'Action', 'Tactical', 'Short', 'Singleplayer', 'Third Person', 'Story Rich', 'Cinematic', 'Open World', 'Replay Value', 'Atmospheric', 'Great Soundtrack', 'Adventure', 'Third-Person Shooter', 'Shooter', 'Sandbox', 'Classic', 'Cold War', 'Dark', 'Espionage']</t>
  </si>
  <si>
    <t>darkwood</t>
  </si>
  <si>
    <t>Hooded Horse</t>
  </si>
  <si>
    <t>['Horror', 'Survival Horror', 'Adventure', 'Action', 'Psychological Horror', 'RPG', 'Dark', 'Atmospheric', 'Survival', 'Exploration', 'Story Rich', 'Open World', 'Dark Fantasy', 'Fantasy', 'Singleplayer', 'Action-Adventure', 'Multiple Endings', 'Choices Matter', 'Combat', 'Supernatural']</t>
  </si>
  <si>
    <t>198x</t>
  </si>
  <si>
    <t>Hi-Bit Studios</t>
  </si>
  <si>
    <t>['Indie', 'Retro', 'Pixel Graphics', '1980s', 'Arcade', "Beat 'em up", 'Great Soundtrack', 'Short', '2D', 'Singleplayer', "Shoot 'Em Up", 'Action', 'Story Rich']</t>
  </si>
  <si>
    <t>garfield kart furious racing</t>
  </si>
  <si>
    <t>Microids</t>
  </si>
  <si>
    <t>['Racing', 'PvP', 'Sports', 'Competitive', 'Arcade', 'Third Person', 'Cute', 'Split Screen', 'Funny', 'Casual', 'Cartoony', 'Family Friendly', 'Cats', 'Comedy', 'Co-op', 'Multiplayer', 'Singleplayer', 'Local Multiplayer', 'Great Soundtrack', 'Classic']</t>
  </si>
  <si>
    <t>mr shifty</t>
  </si>
  <si>
    <t>['Action', 'Indie', 'Adventure', 'Top-Down', "Beat 'em up", 'Singleplayer', 'Fast-Paced', 'Great Soundtrack', 'Difficult', 'Bullet Time', 'Superhero', 'Comic Book', 'Assassins', 'Destruction', 'Arcade', 'Time Attack', 'Heist', 'Action-Adventure', 'Character Action Game', 'Top-Down Shooter']</t>
  </si>
  <si>
    <t>superhot mind control delete</t>
  </si>
  <si>
    <t>['FPS', 'Time Manipulation', 'Bullet Time', 'Action Roguelike', 'Shooter', 'Action', 'Difficult', 'Experimental', 'Minimalist', 'First-Person', 'Puzzle', 'Stylized', 'Dystopian', 'Atmospheric', 'Cyberpunk', 'Beautiful', 'Singleplayer', 'Transhumanism', 'Cinematic', 'Old School']</t>
  </si>
  <si>
    <t>brothers a tale of two sons</t>
  </si>
  <si>
    <t>505 Games</t>
  </si>
  <si>
    <t>['Adventure', 'Atmospheric', 'Story Rich', 'Controller', 'Indie', 'Emotional', 'Puzzle', 'Short', 'Fantasy', 'Singleplayer', 'Beautiful', 'Great Soundtrack', 'Local Co-Op', 'Multiplayer', 'Action', 'Platformer', 'Third Person', 'Casual', 'Walking Simulator', 'Colorful']</t>
  </si>
  <si>
    <t>fez</t>
  </si>
  <si>
    <t>Trapdoor</t>
  </si>
  <si>
    <t>['Platformer', 'Indie', 'Puzzle', 'Pixel Graphics', 'Exploration', 'Great Soundtrack', 'Singleplayer', 'Adventure', 'Casual', 'Mystery', 'Puzzle Platformer', '2D', 'Beautiful', 'Relaxing', 'Atmospheric', '2.5D', 'Cute', 'Retro', 'Controller', 'Metroidvania']</t>
  </si>
  <si>
    <t>gato roboto</t>
  </si>
  <si>
    <t>['Indie', 'Metroidvania', 'Action', 'Pixel Graphics', 'Adventure', '2D', 'Cats', 'Platformer', 'Retro', 'Singleplayer', 'Cute', 'Side Scroller', 'Exploration', 'Sci-fi', 'Controller', 'Difficult', 'Short', 'Female Protagonist', 'Great Soundtrack', 'Open World']</t>
  </si>
  <si>
    <t>machinarium</t>
  </si>
  <si>
    <t>Amanita Design</t>
  </si>
  <si>
    <t>['Point &amp; Click', 'Puzzle', 'Hand-drawn', 'Robots', 'Steampunk', '2D', 'Atmospheric', 'Story Rich', 'Adventure', 'Casual', 'Cute', 'Family Friendly', 'Surreal', 'Stylized', 'Sci-fi', 'Linear', 'Singleplayer', 'Indie', 'Great Soundtrack', 'Touch-Friendly']</t>
  </si>
  <si>
    <t>olliolli</t>
  </si>
  <si>
    <t>['Skateboarding', 'Indie', 'Sports', '2D', 'Pixel Graphics', 'Platformer', 'Singleplayer', 'Great Soundtrack', 'Arcade', 'Action', 'Skating', 'Difficult', 'Casual']</t>
  </si>
  <si>
    <t>hacknet</t>
  </si>
  <si>
    <t>['Hacking', 'Simulation', 'Programming', 'Typing', 'Story Rich', 'Singleplayer', 'Great Soundtrack', 'Choices Matter', 'Crime', 'Atmospheric', 'Detective', 'Cyberpunk', 'Logic', 'Education', '2D', 'Difficult', 'Adventure', 'Sci-fi', 'Dystopian', 'Indie']</t>
  </si>
  <si>
    <t>lostwinds</t>
  </si>
  <si>
    <t>['Adventure', 'Platformer', 'Singleplayer', 'Casual', 'Family Friendly', 'Metroidvania', 'Puzzle Platformer', 'Puzzle', 'Indie', 'Atmospheric', 'Great Soundtrack', 'Short', 'Cute', '2.5D', 'Side Scroller']</t>
  </si>
  <si>
    <t>quiplash</t>
  </si>
  <si>
    <t>['Casual', 'Multiplayer', 'Comedy', 'Indie', 'Strategy', 'Co-op', 'Local Multiplayer', 'Party Game', 'Family Friendly', 'Party', 'Funny', 'Board Game', 'Trivia']</t>
  </si>
  <si>
    <t>world of goo</t>
  </si>
  <si>
    <t>2D BOY</t>
  </si>
  <si>
    <t>['Puzzle', 'Indie', 'Physics', 'Singleplayer', 'Great Soundtrack', 'Casual', '2D', 'Cute', 'Comedy', 'Building', 'Atmospheric', 'Funny', 'Classic', 'Satire', 'Surreal', 'Touch-Friendly', 'Difficult', 'Story Rich', 'Strategy', 'Family Friendly']</t>
  </si>
  <si>
    <t>zombotron</t>
  </si>
  <si>
    <t>Ant.Karlov Games</t>
  </si>
  <si>
    <t>['Action', '2D', 'Adventure', 'Singleplayer', 'Indie', 'Zombies', 'Shooter', 'Sci-fi', 'Platformer', "Shoot 'Em Up", 'Side Scroller', 'Great Soundtrack', 'Difficult', 'Action-Adventure', 'Remake', 'RPG', 'Atmospheric', 'Aliens', 'Action RPG', 'Colorful']</t>
  </si>
  <si>
    <t>dr langeskov the tiger and the terribly cursed emerald a whirlwind heist</t>
  </si>
  <si>
    <t>Crows Crows Crows</t>
  </si>
  <si>
    <t>['Free to Play', 'Comedy', 'First-Person', 'Indie', 'Walking Simulator', 'Funny', 'Short', 'Singleplayer', 'Heist', 'Stealth', 'Story Rich', 'Experimental', 'Adventure', 'Casual', 'Atmospheric', 'Satire', 'Puzzle', 'Action', 'Psychological Horror', 'Horror']</t>
  </si>
  <si>
    <t>frog detective 1 the haunted island</t>
  </si>
  <si>
    <t>worm club</t>
  </si>
  <si>
    <t>['Comedy', 'Short', 'Funny', 'Casual', 'Cute', 'Detective', 'Mystery', 'Relaxing', 'Colorful', 'Exploration', 'Investigation', 'Walking Simulator', 'Point &amp; Click', 'Adventure', 'Interactive Fiction', 'Singleplayer', 'Soundtrack', 'Indie', 'Great Soundtrack', 'Story Rich']</t>
  </si>
  <si>
    <t>molek-syntez</t>
  </si>
  <si>
    <t>['Simulation', 'Puzzle', 'Programming', 'Indie', 'Singleplayer', 'Science', 'Automation', 'Logic']</t>
  </si>
  <si>
    <t>the witness</t>
  </si>
  <si>
    <t>Thekla, Inc.</t>
  </si>
  <si>
    <t>['Puzzle', 'Exploration', 'First-Person', 'Open World', 'Singleplayer', 'Colorful', 'Indie', 'Atmospheric', 'Difficult', 'Walking Simulator', 'Adventure', 'Mystery', 'Nonlinear', 'Philosophical', 'Relaxing', 'Surreal', 'Casual', 'Great Soundtrack', 'Beautiful', 'Story Rich']</t>
  </si>
  <si>
    <t>feather</t>
  </si>
  <si>
    <t>Samurai Punk</t>
  </si>
  <si>
    <t>['Exploration', 'Flight', 'Sandbox', 'Nature', 'Third Person', 'Relaxing', 'Open World', 'Casual', 'Simulation', 'Stylized', 'Atmospheric', 'Co-op', 'Adventure', 'Multiplayer', 'Online Co-Op', 'Singleplayer', 'Music', 'Indie', 'Walking Simulator', 'Birds']</t>
  </si>
  <si>
    <t>bioshock</t>
  </si>
  <si>
    <t>['FPS', 'Atmospheric', 'Story Rich', 'Action', 'Singleplayer', 'Horror', 'Steampunk', 'First-Person', 'Shooter', 'Sci-fi', 'Classic', 'RPG', 'Dystopian', 'Adventure', 'Underwater', 'Immersive', 'Dark', 'Political', 'Great Soundtrack', 'Alternate History']</t>
  </si>
  <si>
    <t>bloons td battles 2</t>
  </si>
  <si>
    <t>['Free to Play', 'Tower Defense', 'Multiplayer', 'Competitive', 'Strategy', 'PvP', 'Indie', 'Action', 'Family Friendly', 'Colorful', 'Real Time Tactics', 'Cartoony', 'Tactical', 'Sandbox', '3D', 'Casual', 'Top-Down', 'Character Customization', 'Funny', 'Difficult']</t>
  </si>
  <si>
    <t>capitalism 2</t>
  </si>
  <si>
    <t>Enlight Software Limited</t>
  </si>
  <si>
    <t>['Economy', 'Simulation', 'Capitalism', 'Management', 'Strategy', 'Indie', 'Villain Protagonist', 'RTS', 'Classic']</t>
  </si>
  <si>
    <t>europa universalis iii</t>
  </si>
  <si>
    <t>['Grand Strategy', 'Strategy', 'Historical', 'Political Sim', 'Real-Time with Pause', 'Political', 'Sandbox', 'Simulation', 'Singleplayer', 'Addictive', 'Multiplayer', 'RTS', 'Co-op', 'War', 'Alternate History', 'Medieval', 'Logic', '4X', 'Great Soundtrack', 'Moddable']</t>
  </si>
  <si>
    <t>fallout 2</t>
  </si>
  <si>
    <t>['RPG', 'Post-apocalyptic', 'Classic', 'Isometric', 'Open World', 'Turn-Based Combat', 'Turn-Based', 'Singleplayer', 'Story Rich', 'Sci-fi', 'Atmospheric', 'CRPG', 'Retro', 'Exploration', 'Dark Humor', 'Great Soundtrack', 'Replay Value', 'Adventure', '2D', 'Sandbox']</t>
  </si>
  <si>
    <t>half-life 2 deathmatch</t>
  </si>
  <si>
    <t>['Action', 'FPS', 'Multiplayer', 'Shooter', 'First-Person', 'Sci-fi', 'Physics', 'Competitive', 'Funny', 'Co-op', 'Old School', 'PvP', 'Arena Shooter', 'Moddable', 'Atmospheric', 'Adventure', 'Great Soundtrack', 'Singleplayer', 'Violent', 'Mod']</t>
  </si>
  <si>
    <t>long live santa!</t>
  </si>
  <si>
    <t>Doborog Games</t>
  </si>
  <si>
    <t>['Free to Play', 'Multiplayer', 'Funny', 'Action', 'Indie', 'Fighting', 'Survival', 'Memes', 'Psychological Horror', 'Swordplay', 'Battle Royale', 'Voxel', 'Pixel Graphics', 'Gore', 'Combat', 'Violent', 'Great Soundtrack', 'Controller', 'Horror', 'Anime']</t>
  </si>
  <si>
    <t>rpg maker xp</t>
  </si>
  <si>
    <t>Gotcha Gotcha Games</t>
  </si>
  <si>
    <t>['Game Development', 'RPG', 'Design &amp; Illustration', 'Software', 'Anime', 'JRPG', 'Education', 'Utilities']</t>
  </si>
  <si>
    <t>sakura fantasy chapter 1</t>
  </si>
  <si>
    <t>['Nudity', 'Anime', 'Visual Novel', 'Female Protagonist', 'Indie', 'Fantasy', 'Sexual Content', 'Casual', 'Cute', 'Hentai', 'Singleplayer', 'LGBTQ+', 'Romance', 'Story Rich']</t>
  </si>
  <si>
    <t>slay the spire 2</t>
  </si>
  <si>
    <t>['Roguelike', 'Card Game', 'Deckbuilding', 'Co-op', 'Strategy', 'Roguelike Deckbuilder', 'Political', 'Multiplayer', 'Turn-Based Combat', 'Card Battler', 'Indie', 'Difficult', 'Roguelite', 'Early Access', '2D', 'Singleplayer', 'Replay Value', 'Dungeon Crawler', 'Fantasy', 'Procedural Generation']</t>
  </si>
  <si>
    <t>sven co-op</t>
  </si>
  <si>
    <t>Sven Co-op team</t>
  </si>
  <si>
    <t>['Co-op', 'FPS', 'Online Co-Op', 'Shooter', "1990's", "Shoot 'Em Up", 'Retro', 'Team-Based', 'Casual', 'Free to Play', 'PvE', 'First-Person', '3D', 'Third Person', 'Action', 'Dialogue Heavy', 'Puzzle', 'Survival', 'Moddable', 'Multiplayer']</t>
  </si>
  <si>
    <t>tilt brush</t>
  </si>
  <si>
    <t>Google</t>
  </si>
  <si>
    <t>['Design &amp; Illustration', 'VR', 'Free to Play', 'Hand-drawn', 'Casual', 'Singleplayer']</t>
  </si>
  <si>
    <t>ultimate custom night</t>
  </si>
  <si>
    <t>Scott Cawthon</t>
  </si>
  <si>
    <t>['Free to Play', 'Horror', 'Singleplayer', 'Difficult', 'Survival Horror', 'Robots', 'Strategy', 'First-Person', 'Survival', 'Dark', 'Indie', 'Point &amp; Click', 'Action', 'Psychological Horror', 'Atmospheric', 'Story Rich', 'Memes', 'Funny', 'Simulation', 'Character Customization']</t>
  </si>
  <si>
    <t>victoria ii</t>
  </si>
  <si>
    <t>['Grand Strategy', 'Strategy', 'Historical', 'Political Sim', 'Politics', 'Economy', 'Simulation', 'Real-Time with Pause', 'Military', 'World War I', 'War', 'Sandbox', 'Singleplayer', 'RTS', 'Management', 'Alternate History', 'Multiplayer', 'Moddable', 'Diplomacy', 'Great Soundtrack']</t>
  </si>
  <si>
    <t>undercroft warriors</t>
  </si>
  <si>
    <t>Fuzzy</t>
  </si>
  <si>
    <t>["Shoot 'Em Up", 'Top-Down Shooter', 'Twin Stick Shooter', 'Bullet Hell', 'Difficult', 'Shooter', 'Arcade', '2D', 'Top-Down', 'Controller', 'Action', 'Pixel Graphics', 'Stylized', 'Score Attack', 'Old School', 'Retro', 'Combat', 'Indie', 'Singleplayer', 'Fast-Paced']</t>
  </si>
  <si>
    <t>(Multiple Items)</t>
  </si>
  <si>
    <t>Average of time_complete</t>
  </si>
  <si>
    <t>Red shaded cell indciate a cell where a clear anomaly has been removed</t>
  </si>
  <si>
    <t>(blank)</t>
  </si>
  <si>
    <t>Grand Total</t>
  </si>
  <si>
    <t>Average of time_main</t>
  </si>
  <si>
    <t>Average of Total_number_of_reviews</t>
  </si>
  <si>
    <t>Sum of Total_number_of_reviews</t>
  </si>
  <si>
    <t>Column1</t>
  </si>
  <si>
    <t>Column2</t>
  </si>
  <si>
    <t>Column3</t>
  </si>
  <si>
    <t>Results and conclusions</t>
  </si>
  <si>
    <t>Through this project, I have found the following:</t>
  </si>
  <si>
    <t>Does the time to 100% a game increase with achievement count?</t>
  </si>
  <si>
    <t>The ultimate conclusion I have gathered from the data is that more achievements does correlate to more time to 100%. The time increases until ~50 achievements, where the correlation weakens, thought it appeasr as if the time to 100% actually decreases after 50 until ~70, where conclusions are more difficult to draw. The data after 100 was impossible to draw conclusions on.</t>
  </si>
  <si>
    <t>Regardless, the data had many anomalies. They have been removed here, but it is clear that there are games who have an unsual amount of time to 100% relative to their number of achievements</t>
  </si>
  <si>
    <t>Does the time to beat a game increase with rating?</t>
  </si>
  <si>
    <t>Overall, it appears as if the time to beat a game does have a correlation with its rating - higher rated games take longer to beat. While this does not necessarily mean that a longer game is good, it shows that generally people to prefer games in the 1000-1300 minutes range.</t>
  </si>
  <si>
    <t>Interestingly, there were only 3 "positive" games in the data set, none of which having times associated with them.</t>
  </si>
  <si>
    <t>Are more people reviewing (and thus buying) games overtime?</t>
  </si>
  <si>
    <t>While the correlation between game reviews and game sales certainly exists, it is not possible to draw good conclusions on how many sales a game made on the number of reviews. Still, more reviews can show that the industry is larger, and with publicly available information, this is the best I can do.</t>
  </si>
  <si>
    <t>The data seems to show a positive increase until 2019, before quickly decreasing. Unlike the other results, I do not think this is a good conclusion - many of these data points are from just one game and thus can't paint a very good picture. This is the reason the graph is very "spiky" - one game may differ widely in popularity from the next, and on this graph that difference can be seen.There also seems to be many anomalies, so the unfortunate conclusion is that the dataset is not good enough to draw any conlusions from.</t>
  </si>
  <si>
    <t>Conclusions</t>
  </si>
  <si>
    <t>Despite the limited dataset, I think some intersting conclusions can be drawn. The most intereting to me is the correlation between games being rated higher and the time required to beat them. This is not something I had considered before this project, so its interesting to see people might enjoy longer games.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</si>
</sst>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rgb="FF000000"/>
      <name val="Calibri"/>
      <scheme val="minor"/>
    </font>
    <font>
      <b/>
      <sz val="14"/>
      <color rgb="FF000000"/>
      <name val="Calibri"/>
      <scheme val="minor"/>
    </font>
    <font>
      <b/>
      <sz val="14"/>
      <color rgb="FF000000"/>
      <name val="Calibri"/>
    </font>
    <font>
      <sz val="11"/>
      <color rgb="FF242424"/>
      <name val="Aptos Narrow"/>
      <charset val="1"/>
    </font>
    <font>
      <b/>
      <sz val="14"/>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FF0000"/>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14" fontId="0" fillId="0" borderId="0" xfId="0" applyNumberFormat="1"/>
    <xf numFmtId="0" fontId="0" fillId="0" borderId="0" xfId="0" pivotButton="1"/>
    <xf numFmtId="0" fontId="0" fillId="0" borderId="0" xfId="0" applyNumberFormat="1"/>
    <xf numFmtId="0" fontId="16" fillId="33" borderId="10" xfId="0" applyFont="1" applyFill="1" applyBorder="1"/>
    <xf numFmtId="0" fontId="0" fillId="0" borderId="0" xfId="0" applyAlignment="1">
      <alignment wrapText="1"/>
    </xf>
    <xf numFmtId="0" fontId="16" fillId="33" borderId="10" xfId="0" applyFont="1" applyFill="1" applyBorder="1" applyAlignment="1">
      <alignment wrapText="1"/>
    </xf>
    <xf numFmtId="0" fontId="18" fillId="0" borderId="11" xfId="0" applyFont="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0" xfId="0" applyAlignment="1">
      <alignment horizontal="center" wrapText="1"/>
    </xf>
    <xf numFmtId="0" fontId="19" fillId="0" borderId="0" xfId="0" applyFont="1" applyAlignment="1">
      <alignment horizontal="center" wrapText="1"/>
    </xf>
    <xf numFmtId="0" fontId="0" fillId="0" borderId="0" xfId="0" applyAlignment="1">
      <alignment horizontal="center"/>
    </xf>
    <xf numFmtId="0" fontId="0" fillId="0" borderId="0" xfId="0" applyAlignment="1">
      <alignment horizontal="center" wrapText="1"/>
    </xf>
    <xf numFmtId="0" fontId="20" fillId="0" borderId="0" xfId="0" applyFont="1" applyAlignment="1">
      <alignment horizontal="center"/>
    </xf>
    <xf numFmtId="0" fontId="18" fillId="0" borderId="0" xfId="0" applyFont="1" applyAlignment="1">
      <alignment horizontal="center" wrapText="1"/>
    </xf>
    <xf numFmtId="0" fontId="19" fillId="0" borderId="0" xfId="0" applyFont="1" applyAlignment="1">
      <alignment horizontal="center"/>
    </xf>
    <xf numFmtId="0" fontId="0" fillId="34" borderId="0" xfId="0" applyNumberFormat="1" applyFill="1"/>
    <xf numFmtId="0" fontId="21" fillId="0" borderId="0" xfId="0" applyFont="1" applyAlignment="1">
      <alignment wrapText="1"/>
    </xf>
    <xf numFmtId="0" fontId="22"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0" formatCode="General"/>
    </dxf>
    <dxf>
      <numFmt numFmtId="0" formatCode="General"/>
    </dxf>
    <dxf>
      <numFmt numFmtId="19" formatCode="dd/mm/yyyy"/>
    </dxf>
    <dxf>
      <border outline="0">
        <bottom style="thin">
          <color theme="4" tint="0.39997558519241921"/>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numFmt numFmtId="0" formatCode="General"/>
    </dxf>
    <dxf>
      <border outline="0">
        <bottom style="thin">
          <color theme="4" tint="0.39997558519241921"/>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numFmt numFmtId="19" formatCode="dd/mm/yyyy"/>
    </dxf>
    <dxf>
      <numFmt numFmtId="0" formatCode="General"/>
    </dxf>
    <dxf>
      <numFmt numFmtId="19" formatCode="dd/mm/yyyy"/>
    </dxf>
    <dxf>
      <alignment wrapText="1"/>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rgbClr val="0070C0"/>
              </a:solidFill>
              <a:ln w="9525">
                <a:solidFill>
                  <a:schemeClr val="accent1"/>
                </a:solidFill>
              </a:ln>
              <a:effectLst/>
            </c:spPr>
          </c:marker>
          <c:trendline>
            <c:spPr>
              <a:ln w="19050" cap="rnd">
                <a:solidFill>
                  <a:srgbClr val="FF0000"/>
                </a:solidFill>
                <a:prstDash val="sysDot"/>
              </a:ln>
              <a:effectLst/>
            </c:spPr>
            <c:trendlineType val="movingAvg"/>
            <c:period val="20"/>
            <c:dispRSqr val="0"/>
            <c:dispEq val="0"/>
          </c:trendline>
          <c:xVal>
            <c:numRef>
              <c:f>'Analysis and Pivot Tables 1'!$D$4:$D$93</c:f>
              <c:numCache>
                <c:formatCode>General</c:formatCode>
                <c:ptCount val="90"/>
                <c:pt idx="0">
                  <c:v>1</c:v>
                </c:pt>
                <c:pt idx="1">
                  <c:v>2</c:v>
                </c:pt>
                <c:pt idx="2">
                  <c:v>3</c:v>
                </c:pt>
                <c:pt idx="3">
                  <c:v>5</c:v>
                </c:pt>
                <c:pt idx="4">
                  <c:v>6</c:v>
                </c:pt>
                <c:pt idx="5">
                  <c:v>8</c:v>
                </c:pt>
                <c:pt idx="6">
                  <c:v>10</c:v>
                </c:pt>
                <c:pt idx="7">
                  <c:v>11</c:v>
                </c:pt>
                <c:pt idx="8">
                  <c:v>12</c:v>
                </c:pt>
                <c:pt idx="9">
                  <c:v>13</c:v>
                </c:pt>
                <c:pt idx="10">
                  <c:v>14</c:v>
                </c:pt>
                <c:pt idx="11">
                  <c:v>15</c:v>
                </c:pt>
                <c:pt idx="12">
                  <c:v>16</c:v>
                </c:pt>
                <c:pt idx="13">
                  <c:v>17</c:v>
                </c:pt>
                <c:pt idx="14">
                  <c:v>18</c:v>
                </c:pt>
                <c:pt idx="15">
                  <c:v>19</c:v>
                </c:pt>
                <c:pt idx="16">
                  <c:v>20</c:v>
                </c:pt>
                <c:pt idx="17">
                  <c:v>21</c:v>
                </c:pt>
                <c:pt idx="18">
                  <c:v>22</c:v>
                </c:pt>
                <c:pt idx="19">
                  <c:v>23</c:v>
                </c:pt>
                <c:pt idx="20">
                  <c:v>24</c:v>
                </c:pt>
                <c:pt idx="21">
                  <c:v>25</c:v>
                </c:pt>
                <c:pt idx="22">
                  <c:v>26</c:v>
                </c:pt>
                <c:pt idx="23">
                  <c:v>27</c:v>
                </c:pt>
                <c:pt idx="24">
                  <c:v>28</c:v>
                </c:pt>
                <c:pt idx="25">
                  <c:v>29</c:v>
                </c:pt>
                <c:pt idx="26">
                  <c:v>30</c:v>
                </c:pt>
                <c:pt idx="27">
                  <c:v>31</c:v>
                </c:pt>
                <c:pt idx="28">
                  <c:v>32</c:v>
                </c:pt>
                <c:pt idx="29">
                  <c:v>33</c:v>
                </c:pt>
                <c:pt idx="30">
                  <c:v>34</c:v>
                </c:pt>
                <c:pt idx="31">
                  <c:v>35</c:v>
                </c:pt>
                <c:pt idx="32">
                  <c:v>36</c:v>
                </c:pt>
                <c:pt idx="33">
                  <c:v>37</c:v>
                </c:pt>
                <c:pt idx="34">
                  <c:v>38</c:v>
                </c:pt>
                <c:pt idx="35">
                  <c:v>40</c:v>
                </c:pt>
                <c:pt idx="36">
                  <c:v>41</c:v>
                </c:pt>
                <c:pt idx="37">
                  <c:v>42</c:v>
                </c:pt>
                <c:pt idx="38">
                  <c:v>43</c:v>
                </c:pt>
                <c:pt idx="39">
                  <c:v>44</c:v>
                </c:pt>
                <c:pt idx="40">
                  <c:v>45</c:v>
                </c:pt>
                <c:pt idx="41">
                  <c:v>46</c:v>
                </c:pt>
                <c:pt idx="42">
                  <c:v>47</c:v>
                </c:pt>
                <c:pt idx="43">
                  <c:v>48</c:v>
                </c:pt>
                <c:pt idx="44">
                  <c:v>49</c:v>
                </c:pt>
                <c:pt idx="45">
                  <c:v>50</c:v>
                </c:pt>
                <c:pt idx="46">
                  <c:v>51</c:v>
                </c:pt>
                <c:pt idx="47">
                  <c:v>52</c:v>
                </c:pt>
                <c:pt idx="48">
                  <c:v>53</c:v>
                </c:pt>
                <c:pt idx="49">
                  <c:v>54</c:v>
                </c:pt>
                <c:pt idx="50">
                  <c:v>55</c:v>
                </c:pt>
                <c:pt idx="51">
                  <c:v>58</c:v>
                </c:pt>
                <c:pt idx="52">
                  <c:v>59</c:v>
                </c:pt>
                <c:pt idx="53">
                  <c:v>60</c:v>
                </c:pt>
                <c:pt idx="54">
                  <c:v>61</c:v>
                </c:pt>
                <c:pt idx="55">
                  <c:v>63</c:v>
                </c:pt>
                <c:pt idx="56">
                  <c:v>65</c:v>
                </c:pt>
                <c:pt idx="57">
                  <c:v>68</c:v>
                </c:pt>
                <c:pt idx="58">
                  <c:v>69</c:v>
                </c:pt>
                <c:pt idx="59">
                  <c:v>70</c:v>
                </c:pt>
                <c:pt idx="60">
                  <c:v>72</c:v>
                </c:pt>
                <c:pt idx="61">
                  <c:v>73</c:v>
                </c:pt>
                <c:pt idx="62">
                  <c:v>75</c:v>
                </c:pt>
                <c:pt idx="63">
                  <c:v>77</c:v>
                </c:pt>
                <c:pt idx="64">
                  <c:v>78</c:v>
                </c:pt>
                <c:pt idx="65">
                  <c:v>79</c:v>
                </c:pt>
                <c:pt idx="66">
                  <c:v>80</c:v>
                </c:pt>
                <c:pt idx="67">
                  <c:v>81</c:v>
                </c:pt>
                <c:pt idx="68">
                  <c:v>85</c:v>
                </c:pt>
                <c:pt idx="69">
                  <c:v>88</c:v>
                </c:pt>
                <c:pt idx="70">
                  <c:v>91</c:v>
                </c:pt>
                <c:pt idx="71">
                  <c:v>96</c:v>
                </c:pt>
                <c:pt idx="72">
                  <c:v>99</c:v>
                </c:pt>
                <c:pt idx="73">
                  <c:v>100</c:v>
                </c:pt>
                <c:pt idx="74">
                  <c:v>101</c:v>
                </c:pt>
                <c:pt idx="75">
                  <c:v>104</c:v>
                </c:pt>
                <c:pt idx="76">
                  <c:v>106</c:v>
                </c:pt>
                <c:pt idx="77">
                  <c:v>120</c:v>
                </c:pt>
                <c:pt idx="78">
                  <c:v>137</c:v>
                </c:pt>
                <c:pt idx="79">
                  <c:v>146</c:v>
                </c:pt>
                <c:pt idx="80">
                  <c:v>156</c:v>
                </c:pt>
                <c:pt idx="81">
                  <c:v>161</c:v>
                </c:pt>
                <c:pt idx="82">
                  <c:v>171</c:v>
                </c:pt>
                <c:pt idx="83">
                  <c:v>188</c:v>
                </c:pt>
                <c:pt idx="84">
                  <c:v>193</c:v>
                </c:pt>
                <c:pt idx="85">
                  <c:v>198</c:v>
                </c:pt>
                <c:pt idx="86">
                  <c:v>219</c:v>
                </c:pt>
                <c:pt idx="87">
                  <c:v>255</c:v>
                </c:pt>
                <c:pt idx="88">
                  <c:v>307</c:v>
                </c:pt>
                <c:pt idx="89">
                  <c:v>452</c:v>
                </c:pt>
              </c:numCache>
            </c:numRef>
          </c:xVal>
          <c:yVal>
            <c:numRef>
              <c:f>'Analysis and Pivot Tables 1'!$E$4:$E$93</c:f>
              <c:numCache>
                <c:formatCode>General</c:formatCode>
                <c:ptCount val="90"/>
                <c:pt idx="0">
                  <c:v>41</c:v>
                </c:pt>
                <c:pt idx="1">
                  <c:v>2388</c:v>
                </c:pt>
                <c:pt idx="2">
                  <c:v>78</c:v>
                </c:pt>
                <c:pt idx="3">
                  <c:v>260</c:v>
                </c:pt>
                <c:pt idx="4">
                  <c:v>1430</c:v>
                </c:pt>
                <c:pt idx="5">
                  <c:v>602.25</c:v>
                </c:pt>
                <c:pt idx="6">
                  <c:v>2088</c:v>
                </c:pt>
                <c:pt idx="7">
                  <c:v>296</c:v>
                </c:pt>
                <c:pt idx="8">
                  <c:v>714.83333333333337</c:v>
                </c:pt>
                <c:pt idx="9">
                  <c:v>306</c:v>
                </c:pt>
                <c:pt idx="10">
                  <c:v>554.6</c:v>
                </c:pt>
                <c:pt idx="11">
                  <c:v>1576</c:v>
                </c:pt>
                <c:pt idx="12">
                  <c:v>1541.5</c:v>
                </c:pt>
                <c:pt idx="13">
                  <c:v>840</c:v>
                </c:pt>
                <c:pt idx="14">
                  <c:v>2994.5</c:v>
                </c:pt>
                <c:pt idx="15">
                  <c:v>809</c:v>
                </c:pt>
                <c:pt idx="16">
                  <c:v>1656</c:v>
                </c:pt>
                <c:pt idx="17">
                  <c:v>2362</c:v>
                </c:pt>
                <c:pt idx="18">
                  <c:v>1085.8</c:v>
                </c:pt>
                <c:pt idx="19">
                  <c:v>2920</c:v>
                </c:pt>
                <c:pt idx="20">
                  <c:v>2107.5</c:v>
                </c:pt>
                <c:pt idx="21">
                  <c:v>1482</c:v>
                </c:pt>
                <c:pt idx="22">
                  <c:v>6466.666666666667</c:v>
                </c:pt>
                <c:pt idx="23">
                  <c:v>2095.6666666666665</c:v>
                </c:pt>
                <c:pt idx="24">
                  <c:v>488</c:v>
                </c:pt>
                <c:pt idx="26">
                  <c:v>1328</c:v>
                </c:pt>
                <c:pt idx="27">
                  <c:v>4918</c:v>
                </c:pt>
                <c:pt idx="29">
                  <c:v>944.66666666666663</c:v>
                </c:pt>
                <c:pt idx="30">
                  <c:v>3113</c:v>
                </c:pt>
                <c:pt idx="31">
                  <c:v>1042</c:v>
                </c:pt>
                <c:pt idx="33">
                  <c:v>2372.5714285714284</c:v>
                </c:pt>
                <c:pt idx="34">
                  <c:v>4651.5</c:v>
                </c:pt>
                <c:pt idx="35">
                  <c:v>2353</c:v>
                </c:pt>
                <c:pt idx="36">
                  <c:v>5234</c:v>
                </c:pt>
                <c:pt idx="37">
                  <c:v>5450.4</c:v>
                </c:pt>
                <c:pt idx="38">
                  <c:v>2935.4</c:v>
                </c:pt>
                <c:pt idx="39">
                  <c:v>2492.5</c:v>
                </c:pt>
                <c:pt idx="41">
                  <c:v>6624.5</c:v>
                </c:pt>
                <c:pt idx="42">
                  <c:v>4927</c:v>
                </c:pt>
                <c:pt idx="43">
                  <c:v>9153.5</c:v>
                </c:pt>
                <c:pt idx="44">
                  <c:v>3279.8</c:v>
                </c:pt>
                <c:pt idx="45">
                  <c:v>2452.75</c:v>
                </c:pt>
                <c:pt idx="46">
                  <c:v>9963.75</c:v>
                </c:pt>
                <c:pt idx="47">
                  <c:v>7746</c:v>
                </c:pt>
                <c:pt idx="48">
                  <c:v>1194.5</c:v>
                </c:pt>
                <c:pt idx="49">
                  <c:v>4342.666666666667</c:v>
                </c:pt>
                <c:pt idx="50">
                  <c:v>6845</c:v>
                </c:pt>
                <c:pt idx="52">
                  <c:v>3795</c:v>
                </c:pt>
                <c:pt idx="53">
                  <c:v>3216.5</c:v>
                </c:pt>
                <c:pt idx="55">
                  <c:v>4207</c:v>
                </c:pt>
                <c:pt idx="56">
                  <c:v>1456</c:v>
                </c:pt>
                <c:pt idx="57">
                  <c:v>1526</c:v>
                </c:pt>
                <c:pt idx="58">
                  <c:v>16196</c:v>
                </c:pt>
                <c:pt idx="59">
                  <c:v>4079.3333333333335</c:v>
                </c:pt>
                <c:pt idx="60">
                  <c:v>14660</c:v>
                </c:pt>
                <c:pt idx="61">
                  <c:v>3174.5</c:v>
                </c:pt>
                <c:pt idx="62">
                  <c:v>8290.5</c:v>
                </c:pt>
                <c:pt idx="64">
                  <c:v>10829</c:v>
                </c:pt>
                <c:pt idx="65">
                  <c:v>2310</c:v>
                </c:pt>
                <c:pt idx="66">
                  <c:v>2145.6666666666665</c:v>
                </c:pt>
                <c:pt idx="68">
                  <c:v>4838</c:v>
                </c:pt>
                <c:pt idx="69">
                  <c:v>2925</c:v>
                </c:pt>
                <c:pt idx="71">
                  <c:v>3471</c:v>
                </c:pt>
                <c:pt idx="72">
                  <c:v>5983.5</c:v>
                </c:pt>
                <c:pt idx="73">
                  <c:v>68</c:v>
                </c:pt>
                <c:pt idx="74">
                  <c:v>2558</c:v>
                </c:pt>
                <c:pt idx="75">
                  <c:v>2552</c:v>
                </c:pt>
                <c:pt idx="76">
                  <c:v>12977</c:v>
                </c:pt>
                <c:pt idx="78">
                  <c:v>13916</c:v>
                </c:pt>
                <c:pt idx="79">
                  <c:v>8034</c:v>
                </c:pt>
                <c:pt idx="80">
                  <c:v>35862</c:v>
                </c:pt>
                <c:pt idx="82">
                  <c:v>9587</c:v>
                </c:pt>
                <c:pt idx="83">
                  <c:v>46384</c:v>
                </c:pt>
                <c:pt idx="86">
                  <c:v>31708</c:v>
                </c:pt>
                <c:pt idx="87">
                  <c:v>30000</c:v>
                </c:pt>
                <c:pt idx="88">
                  <c:v>9574</c:v>
                </c:pt>
                <c:pt idx="89">
                  <c:v>3781</c:v>
                </c:pt>
              </c:numCache>
            </c:numRef>
          </c:yVal>
          <c:smooth val="0"/>
          <c:extLst>
            <c:ext xmlns:c16="http://schemas.microsoft.com/office/drawing/2014/chart" uri="{C3380CC4-5D6E-409C-BE32-E72D297353CC}">
              <c16:uniqueId val="{00000000-C4C3-48E6-96DD-9F063069F080}"/>
            </c:ext>
          </c:extLst>
        </c:ser>
        <c:dLbls>
          <c:showLegendKey val="0"/>
          <c:showVal val="0"/>
          <c:showCatName val="0"/>
          <c:showSerName val="0"/>
          <c:showPercent val="0"/>
          <c:showBubbleSize val="0"/>
        </c:dLbls>
        <c:axId val="1260275720"/>
        <c:axId val="1260289032"/>
      </c:scatterChart>
      <c:valAx>
        <c:axId val="1260275720"/>
        <c:scaling>
          <c:orientation val="minMax"/>
          <c:max val="2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289032"/>
        <c:crosses val="autoZero"/>
        <c:crossBetween val="midCat"/>
      </c:valAx>
      <c:valAx>
        <c:axId val="1260289032"/>
        <c:scaling>
          <c:orientation val="minMax"/>
          <c:max val="30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27572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circle"/>
            <c:size val="5"/>
            <c:spPr>
              <a:solidFill>
                <a:srgbClr val="0070C0"/>
              </a:solidFill>
              <a:ln w="9525">
                <a:solidFill>
                  <a:schemeClr val="accent1"/>
                </a:solidFill>
              </a:ln>
              <a:effectLst/>
            </c:spPr>
          </c:marker>
          <c:trendline>
            <c:spPr>
              <a:ln w="19050" cap="rnd">
                <a:solidFill>
                  <a:srgbClr val="FF0000"/>
                </a:solidFill>
                <a:prstDash val="sysDot"/>
              </a:ln>
              <a:effectLst/>
            </c:spPr>
            <c:trendlineType val="movingAvg"/>
            <c:period val="5"/>
            <c:dispRSqr val="0"/>
            <c:dispEq val="0"/>
          </c:trendline>
          <c:xVal>
            <c:numRef>
              <c:f>'Analysis and Pivot Tables 1'!$D$5:$D$94</c:f>
              <c:numCache>
                <c:formatCode>General</c:formatCode>
                <c:ptCount val="90"/>
                <c:pt idx="0">
                  <c:v>2</c:v>
                </c:pt>
                <c:pt idx="1">
                  <c:v>3</c:v>
                </c:pt>
                <c:pt idx="2">
                  <c:v>5</c:v>
                </c:pt>
                <c:pt idx="3">
                  <c:v>6</c:v>
                </c:pt>
                <c:pt idx="4">
                  <c:v>8</c:v>
                </c:pt>
                <c:pt idx="5">
                  <c:v>10</c:v>
                </c:pt>
                <c:pt idx="6">
                  <c:v>11</c:v>
                </c:pt>
                <c:pt idx="7">
                  <c:v>12</c:v>
                </c:pt>
                <c:pt idx="8">
                  <c:v>13</c:v>
                </c:pt>
                <c:pt idx="9">
                  <c:v>14</c:v>
                </c:pt>
                <c:pt idx="10">
                  <c:v>15</c:v>
                </c:pt>
                <c:pt idx="11">
                  <c:v>16</c:v>
                </c:pt>
                <c:pt idx="12">
                  <c:v>17</c:v>
                </c:pt>
                <c:pt idx="13">
                  <c:v>18</c:v>
                </c:pt>
                <c:pt idx="14">
                  <c:v>19</c:v>
                </c:pt>
                <c:pt idx="15">
                  <c:v>20</c:v>
                </c:pt>
                <c:pt idx="16">
                  <c:v>21</c:v>
                </c:pt>
                <c:pt idx="17">
                  <c:v>22</c:v>
                </c:pt>
                <c:pt idx="18">
                  <c:v>23</c:v>
                </c:pt>
                <c:pt idx="19">
                  <c:v>24</c:v>
                </c:pt>
                <c:pt idx="20">
                  <c:v>25</c:v>
                </c:pt>
                <c:pt idx="21">
                  <c:v>26</c:v>
                </c:pt>
                <c:pt idx="22">
                  <c:v>27</c:v>
                </c:pt>
                <c:pt idx="23">
                  <c:v>28</c:v>
                </c:pt>
                <c:pt idx="24">
                  <c:v>29</c:v>
                </c:pt>
                <c:pt idx="25">
                  <c:v>30</c:v>
                </c:pt>
                <c:pt idx="26">
                  <c:v>31</c:v>
                </c:pt>
                <c:pt idx="27">
                  <c:v>32</c:v>
                </c:pt>
                <c:pt idx="28">
                  <c:v>33</c:v>
                </c:pt>
                <c:pt idx="29">
                  <c:v>34</c:v>
                </c:pt>
                <c:pt idx="30">
                  <c:v>35</c:v>
                </c:pt>
                <c:pt idx="31">
                  <c:v>36</c:v>
                </c:pt>
                <c:pt idx="32">
                  <c:v>37</c:v>
                </c:pt>
                <c:pt idx="33">
                  <c:v>38</c:v>
                </c:pt>
                <c:pt idx="34">
                  <c:v>40</c:v>
                </c:pt>
                <c:pt idx="35">
                  <c:v>41</c:v>
                </c:pt>
                <c:pt idx="36">
                  <c:v>42</c:v>
                </c:pt>
                <c:pt idx="37">
                  <c:v>43</c:v>
                </c:pt>
                <c:pt idx="38">
                  <c:v>44</c:v>
                </c:pt>
                <c:pt idx="39">
                  <c:v>45</c:v>
                </c:pt>
                <c:pt idx="40">
                  <c:v>46</c:v>
                </c:pt>
                <c:pt idx="41">
                  <c:v>47</c:v>
                </c:pt>
                <c:pt idx="42">
                  <c:v>48</c:v>
                </c:pt>
                <c:pt idx="43">
                  <c:v>49</c:v>
                </c:pt>
                <c:pt idx="44">
                  <c:v>50</c:v>
                </c:pt>
                <c:pt idx="45">
                  <c:v>51</c:v>
                </c:pt>
                <c:pt idx="46">
                  <c:v>52</c:v>
                </c:pt>
                <c:pt idx="47">
                  <c:v>53</c:v>
                </c:pt>
                <c:pt idx="48">
                  <c:v>54</c:v>
                </c:pt>
                <c:pt idx="49">
                  <c:v>55</c:v>
                </c:pt>
                <c:pt idx="50">
                  <c:v>58</c:v>
                </c:pt>
                <c:pt idx="51">
                  <c:v>59</c:v>
                </c:pt>
                <c:pt idx="52">
                  <c:v>60</c:v>
                </c:pt>
                <c:pt idx="53">
                  <c:v>61</c:v>
                </c:pt>
                <c:pt idx="54">
                  <c:v>63</c:v>
                </c:pt>
                <c:pt idx="55">
                  <c:v>65</c:v>
                </c:pt>
                <c:pt idx="56">
                  <c:v>68</c:v>
                </c:pt>
                <c:pt idx="57">
                  <c:v>69</c:v>
                </c:pt>
                <c:pt idx="58">
                  <c:v>70</c:v>
                </c:pt>
                <c:pt idx="59">
                  <c:v>72</c:v>
                </c:pt>
                <c:pt idx="60">
                  <c:v>73</c:v>
                </c:pt>
                <c:pt idx="61">
                  <c:v>75</c:v>
                </c:pt>
                <c:pt idx="62">
                  <c:v>77</c:v>
                </c:pt>
                <c:pt idx="63">
                  <c:v>78</c:v>
                </c:pt>
                <c:pt idx="64">
                  <c:v>79</c:v>
                </c:pt>
                <c:pt idx="65">
                  <c:v>80</c:v>
                </c:pt>
                <c:pt idx="66">
                  <c:v>81</c:v>
                </c:pt>
                <c:pt idx="67">
                  <c:v>85</c:v>
                </c:pt>
                <c:pt idx="68">
                  <c:v>88</c:v>
                </c:pt>
                <c:pt idx="69">
                  <c:v>91</c:v>
                </c:pt>
                <c:pt idx="70">
                  <c:v>96</c:v>
                </c:pt>
                <c:pt idx="71">
                  <c:v>99</c:v>
                </c:pt>
                <c:pt idx="72">
                  <c:v>100</c:v>
                </c:pt>
                <c:pt idx="73">
                  <c:v>101</c:v>
                </c:pt>
                <c:pt idx="74">
                  <c:v>104</c:v>
                </c:pt>
                <c:pt idx="75">
                  <c:v>106</c:v>
                </c:pt>
                <c:pt idx="76">
                  <c:v>120</c:v>
                </c:pt>
                <c:pt idx="77">
                  <c:v>137</c:v>
                </c:pt>
                <c:pt idx="78">
                  <c:v>146</c:v>
                </c:pt>
                <c:pt idx="79">
                  <c:v>156</c:v>
                </c:pt>
                <c:pt idx="80">
                  <c:v>161</c:v>
                </c:pt>
                <c:pt idx="81">
                  <c:v>171</c:v>
                </c:pt>
                <c:pt idx="82">
                  <c:v>188</c:v>
                </c:pt>
                <c:pt idx="83">
                  <c:v>193</c:v>
                </c:pt>
                <c:pt idx="84">
                  <c:v>198</c:v>
                </c:pt>
                <c:pt idx="85">
                  <c:v>219</c:v>
                </c:pt>
                <c:pt idx="86">
                  <c:v>255</c:v>
                </c:pt>
                <c:pt idx="87">
                  <c:v>307</c:v>
                </c:pt>
                <c:pt idx="88">
                  <c:v>452</c:v>
                </c:pt>
              </c:numCache>
            </c:numRef>
          </c:xVal>
          <c:yVal>
            <c:numRef>
              <c:f>'Analysis and Pivot Tables 1'!$E$5:$E$94</c:f>
              <c:numCache>
                <c:formatCode>General</c:formatCode>
                <c:ptCount val="90"/>
                <c:pt idx="0">
                  <c:v>2388</c:v>
                </c:pt>
                <c:pt idx="1">
                  <c:v>78</c:v>
                </c:pt>
                <c:pt idx="2">
                  <c:v>260</c:v>
                </c:pt>
                <c:pt idx="3">
                  <c:v>1430</c:v>
                </c:pt>
                <c:pt idx="4">
                  <c:v>602.25</c:v>
                </c:pt>
                <c:pt idx="5">
                  <c:v>2088</c:v>
                </c:pt>
                <c:pt idx="6">
                  <c:v>296</c:v>
                </c:pt>
                <c:pt idx="7">
                  <c:v>714.83333333333337</c:v>
                </c:pt>
                <c:pt idx="8">
                  <c:v>306</c:v>
                </c:pt>
                <c:pt idx="9">
                  <c:v>554.6</c:v>
                </c:pt>
                <c:pt idx="10">
                  <c:v>1576</c:v>
                </c:pt>
                <c:pt idx="11">
                  <c:v>1541.5</c:v>
                </c:pt>
                <c:pt idx="12">
                  <c:v>840</c:v>
                </c:pt>
                <c:pt idx="13">
                  <c:v>2994.5</c:v>
                </c:pt>
                <c:pt idx="14">
                  <c:v>809</c:v>
                </c:pt>
                <c:pt idx="15">
                  <c:v>1656</c:v>
                </c:pt>
                <c:pt idx="16">
                  <c:v>2362</c:v>
                </c:pt>
                <c:pt idx="17">
                  <c:v>1085.8</c:v>
                </c:pt>
                <c:pt idx="18">
                  <c:v>2920</c:v>
                </c:pt>
                <c:pt idx="19">
                  <c:v>2107.5</c:v>
                </c:pt>
                <c:pt idx="20">
                  <c:v>1482</c:v>
                </c:pt>
                <c:pt idx="21">
                  <c:v>6466.666666666667</c:v>
                </c:pt>
                <c:pt idx="22">
                  <c:v>2095.6666666666665</c:v>
                </c:pt>
                <c:pt idx="23">
                  <c:v>488</c:v>
                </c:pt>
                <c:pt idx="25">
                  <c:v>1328</c:v>
                </c:pt>
                <c:pt idx="26">
                  <c:v>4918</c:v>
                </c:pt>
                <c:pt idx="28">
                  <c:v>944.66666666666663</c:v>
                </c:pt>
                <c:pt idx="29">
                  <c:v>3113</c:v>
                </c:pt>
                <c:pt idx="30">
                  <c:v>1042</c:v>
                </c:pt>
                <c:pt idx="32">
                  <c:v>2372.5714285714284</c:v>
                </c:pt>
                <c:pt idx="33">
                  <c:v>4651.5</c:v>
                </c:pt>
                <c:pt idx="34">
                  <c:v>2353</c:v>
                </c:pt>
                <c:pt idx="35">
                  <c:v>5234</c:v>
                </c:pt>
                <c:pt idx="36">
                  <c:v>5450.4</c:v>
                </c:pt>
                <c:pt idx="37">
                  <c:v>2935.4</c:v>
                </c:pt>
                <c:pt idx="38">
                  <c:v>2492.5</c:v>
                </c:pt>
                <c:pt idx="40">
                  <c:v>6624.5</c:v>
                </c:pt>
                <c:pt idx="41">
                  <c:v>4927</c:v>
                </c:pt>
                <c:pt idx="42">
                  <c:v>9153.5</c:v>
                </c:pt>
                <c:pt idx="43">
                  <c:v>3279.8</c:v>
                </c:pt>
                <c:pt idx="44">
                  <c:v>2452.75</c:v>
                </c:pt>
                <c:pt idx="45">
                  <c:v>9963.75</c:v>
                </c:pt>
                <c:pt idx="46">
                  <c:v>7746</c:v>
                </c:pt>
                <c:pt idx="47">
                  <c:v>1194.5</c:v>
                </c:pt>
                <c:pt idx="48">
                  <c:v>4342.666666666667</c:v>
                </c:pt>
                <c:pt idx="49">
                  <c:v>6845</c:v>
                </c:pt>
                <c:pt idx="51">
                  <c:v>3795</c:v>
                </c:pt>
                <c:pt idx="52">
                  <c:v>3216.5</c:v>
                </c:pt>
                <c:pt idx="54">
                  <c:v>4207</c:v>
                </c:pt>
                <c:pt idx="55">
                  <c:v>1456</c:v>
                </c:pt>
                <c:pt idx="56">
                  <c:v>1526</c:v>
                </c:pt>
                <c:pt idx="57">
                  <c:v>16196</c:v>
                </c:pt>
                <c:pt idx="58">
                  <c:v>4079.3333333333335</c:v>
                </c:pt>
                <c:pt idx="59">
                  <c:v>14660</c:v>
                </c:pt>
                <c:pt idx="60">
                  <c:v>3174.5</c:v>
                </c:pt>
                <c:pt idx="61">
                  <c:v>8290.5</c:v>
                </c:pt>
                <c:pt idx="63">
                  <c:v>10829</c:v>
                </c:pt>
                <c:pt idx="64">
                  <c:v>2310</c:v>
                </c:pt>
                <c:pt idx="65">
                  <c:v>2145.6666666666665</c:v>
                </c:pt>
                <c:pt idx="67">
                  <c:v>4838</c:v>
                </c:pt>
                <c:pt idx="68">
                  <c:v>2925</c:v>
                </c:pt>
                <c:pt idx="70">
                  <c:v>3471</c:v>
                </c:pt>
                <c:pt idx="71">
                  <c:v>5983.5</c:v>
                </c:pt>
                <c:pt idx="72">
                  <c:v>68</c:v>
                </c:pt>
                <c:pt idx="73">
                  <c:v>2558</c:v>
                </c:pt>
                <c:pt idx="74">
                  <c:v>2552</c:v>
                </c:pt>
                <c:pt idx="75">
                  <c:v>12977</c:v>
                </c:pt>
                <c:pt idx="77">
                  <c:v>13916</c:v>
                </c:pt>
                <c:pt idx="78">
                  <c:v>8034</c:v>
                </c:pt>
                <c:pt idx="79">
                  <c:v>35862</c:v>
                </c:pt>
                <c:pt idx="81">
                  <c:v>9587</c:v>
                </c:pt>
                <c:pt idx="82">
                  <c:v>46384</c:v>
                </c:pt>
                <c:pt idx="85">
                  <c:v>31708</c:v>
                </c:pt>
                <c:pt idx="86">
                  <c:v>30000</c:v>
                </c:pt>
                <c:pt idx="87">
                  <c:v>9574</c:v>
                </c:pt>
                <c:pt idx="88">
                  <c:v>3781</c:v>
                </c:pt>
              </c:numCache>
            </c:numRef>
          </c:yVal>
          <c:smooth val="0"/>
          <c:extLst>
            <c:ext xmlns:c16="http://schemas.microsoft.com/office/drawing/2014/chart" uri="{C3380CC4-5D6E-409C-BE32-E72D297353CC}">
              <c16:uniqueId val="{00000001-B527-4190-9718-8BC91A3163BC}"/>
            </c:ext>
          </c:extLst>
        </c:ser>
        <c:dLbls>
          <c:showLegendKey val="0"/>
          <c:showVal val="0"/>
          <c:showCatName val="0"/>
          <c:showSerName val="0"/>
          <c:showPercent val="0"/>
          <c:showBubbleSize val="0"/>
        </c:dLbls>
        <c:axId val="1260275720"/>
        <c:axId val="1260289032"/>
      </c:scatterChart>
      <c:valAx>
        <c:axId val="1260275720"/>
        <c:scaling>
          <c:orientation val="minMax"/>
          <c:max val="1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achievements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289032"/>
        <c:crosses val="autoZero"/>
        <c:crossBetween val="midCat"/>
      </c:valAx>
      <c:valAx>
        <c:axId val="1260289032"/>
        <c:scaling>
          <c:orientation val="minMax"/>
          <c:max val="2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 to 100% in minutes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27572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[Sanitised_Data - Copy.xlsx]Analysis and Pivot Tables 2!PivotTable1</c:name>
    <c:fmtId val="0"/>
  </c:pivotSource>
  <c:chart>
    <c:autoTitleDeleted val="1"/>
    <c:pivotFmts>
      <c:pivotFmt>
        <c:idx val="0"/>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and Pivot Tables 2'!$B$3</c:f>
              <c:strCache>
                <c:ptCount val="1"/>
                <c:pt idx="0">
                  <c:v>Total</c:v>
                </c:pt>
              </c:strCache>
            </c:strRef>
          </c:tx>
          <c:spPr>
            <a:solidFill>
              <a:schemeClr val="accent1"/>
            </a:solidFill>
            <a:ln>
              <a:noFill/>
            </a:ln>
            <a:effectLst/>
          </c:spPr>
          <c:invertIfNegative val="0"/>
          <c:cat>
            <c:strRef>
              <c:f>'Analysis and Pivot Tables 2'!$A$4:$A$11</c:f>
              <c:strCache>
                <c:ptCount val="7"/>
                <c:pt idx="0">
                  <c:v>Mostly Negative</c:v>
                </c:pt>
                <c:pt idx="1">
                  <c:v>Mixed</c:v>
                </c:pt>
                <c:pt idx="2">
                  <c:v>Positive</c:v>
                </c:pt>
                <c:pt idx="3">
                  <c:v>Mostly Positive</c:v>
                </c:pt>
                <c:pt idx="4">
                  <c:v>Very Positive</c:v>
                </c:pt>
                <c:pt idx="5">
                  <c:v>Overwhelmingly Positive</c:v>
                </c:pt>
                <c:pt idx="6">
                  <c:v>(blank)</c:v>
                </c:pt>
              </c:strCache>
            </c:strRef>
          </c:cat>
          <c:val>
            <c:numRef>
              <c:f>'Analysis and Pivot Tables 2'!$B$4:$B$11</c:f>
              <c:numCache>
                <c:formatCode>General</c:formatCode>
                <c:ptCount val="7"/>
                <c:pt idx="0">
                  <c:v>258</c:v>
                </c:pt>
                <c:pt idx="1">
                  <c:v>607.1875</c:v>
                </c:pt>
                <c:pt idx="3">
                  <c:v>898.07407407407402</c:v>
                </c:pt>
                <c:pt idx="4">
                  <c:v>1014.5932203389831</c:v>
                </c:pt>
                <c:pt idx="5">
                  <c:v>1130.4905660377358</c:v>
                </c:pt>
              </c:numCache>
            </c:numRef>
          </c:val>
          <c:extLst>
            <c:ext xmlns:c16="http://schemas.microsoft.com/office/drawing/2014/chart" uri="{C3380CC4-5D6E-409C-BE32-E72D297353CC}">
              <c16:uniqueId val="{000000DB-338D-4B17-B79D-808BAD4BC455}"/>
            </c:ext>
          </c:extLst>
        </c:ser>
        <c:dLbls>
          <c:showLegendKey val="0"/>
          <c:showVal val="0"/>
          <c:showCatName val="0"/>
          <c:showSerName val="0"/>
          <c:showPercent val="0"/>
          <c:showBubbleSize val="0"/>
        </c:dLbls>
        <c:gapWidth val="150"/>
        <c:axId val="1480858632"/>
        <c:axId val="1480906248"/>
      </c:barChart>
      <c:catAx>
        <c:axId val="1480858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906248"/>
        <c:crosses val="autoZero"/>
        <c:auto val="1"/>
        <c:lblAlgn val="ctr"/>
        <c:lblOffset val="100"/>
        <c:noMultiLvlLbl val="0"/>
      </c:catAx>
      <c:valAx>
        <c:axId val="1480906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 to beat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8586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'Analysis and Pivot Tables 2'!$G$24</c:f>
              <c:strCache>
                <c:ptCount val="1"/>
                <c:pt idx="0">
                  <c:v>Sum of Total_number_of_reviews</c:v>
                </c:pt>
              </c:strCache>
            </c:strRef>
          </c:tx>
          <c:spPr>
            <a:ln w="28575" cap="rnd">
              <a:solidFill>
                <a:schemeClr val="accent1"/>
              </a:solidFill>
              <a:round/>
            </a:ln>
            <a:effectLst/>
          </c:spPr>
          <c:marker>
            <c:symbol val="none"/>
          </c:marker>
          <c:xVal>
            <c:numRef>
              <c:f>'Analysis and Pivot Tables 2'!$E$25:$E$98</c:f>
              <c:numCache>
                <c:formatCode>m/d/yyyy</c:formatCode>
                <c:ptCount val="74"/>
                <c:pt idx="2">
                  <c:v>35612</c:v>
                </c:pt>
                <c:pt idx="3">
                  <c:v>36069</c:v>
                </c:pt>
                <c:pt idx="4">
                  <c:v>36161</c:v>
                </c:pt>
                <c:pt idx="5">
                  <c:v>36617</c:v>
                </c:pt>
                <c:pt idx="6">
                  <c:v>36892</c:v>
                </c:pt>
                <c:pt idx="7">
                  <c:v>37165</c:v>
                </c:pt>
                <c:pt idx="8">
                  <c:v>37987</c:v>
                </c:pt>
                <c:pt idx="9">
                  <c:v>38261</c:v>
                </c:pt>
                <c:pt idx="10">
                  <c:v>38443</c:v>
                </c:pt>
                <c:pt idx="11">
                  <c:v>38534</c:v>
                </c:pt>
                <c:pt idx="12">
                  <c:v>38808</c:v>
                </c:pt>
                <c:pt idx="13">
                  <c:v>38991</c:v>
                </c:pt>
                <c:pt idx="14">
                  <c:v>39083</c:v>
                </c:pt>
                <c:pt idx="15">
                  <c:v>39264</c:v>
                </c:pt>
                <c:pt idx="16">
                  <c:v>39356</c:v>
                </c:pt>
                <c:pt idx="17">
                  <c:v>39722</c:v>
                </c:pt>
                <c:pt idx="18">
                  <c:v>39814</c:v>
                </c:pt>
                <c:pt idx="19">
                  <c:v>40087</c:v>
                </c:pt>
                <c:pt idx="20">
                  <c:v>40179</c:v>
                </c:pt>
                <c:pt idx="21">
                  <c:v>40360</c:v>
                </c:pt>
                <c:pt idx="22">
                  <c:v>40452</c:v>
                </c:pt>
                <c:pt idx="23">
                  <c:v>40544</c:v>
                </c:pt>
                <c:pt idx="24">
                  <c:v>40634</c:v>
                </c:pt>
                <c:pt idx="25">
                  <c:v>40725</c:v>
                </c:pt>
                <c:pt idx="26">
                  <c:v>40909</c:v>
                </c:pt>
                <c:pt idx="27">
                  <c:v>41091</c:v>
                </c:pt>
                <c:pt idx="28">
                  <c:v>41183</c:v>
                </c:pt>
                <c:pt idx="29">
                  <c:v>41275</c:v>
                </c:pt>
                <c:pt idx="30">
                  <c:v>41365</c:v>
                </c:pt>
                <c:pt idx="31">
                  <c:v>41456</c:v>
                </c:pt>
                <c:pt idx="32">
                  <c:v>41548</c:v>
                </c:pt>
                <c:pt idx="33">
                  <c:v>41640</c:v>
                </c:pt>
                <c:pt idx="34">
                  <c:v>41730</c:v>
                </c:pt>
                <c:pt idx="35">
                  <c:v>41821</c:v>
                </c:pt>
                <c:pt idx="36">
                  <c:v>41913</c:v>
                </c:pt>
                <c:pt idx="37">
                  <c:v>42005</c:v>
                </c:pt>
                <c:pt idx="38">
                  <c:v>42095</c:v>
                </c:pt>
                <c:pt idx="39">
                  <c:v>42186</c:v>
                </c:pt>
                <c:pt idx="40">
                  <c:v>42278</c:v>
                </c:pt>
                <c:pt idx="41">
                  <c:v>42370</c:v>
                </c:pt>
                <c:pt idx="42">
                  <c:v>42461</c:v>
                </c:pt>
                <c:pt idx="43">
                  <c:v>42552</c:v>
                </c:pt>
                <c:pt idx="44">
                  <c:v>42644</c:v>
                </c:pt>
                <c:pt idx="45">
                  <c:v>42736</c:v>
                </c:pt>
                <c:pt idx="46">
                  <c:v>42826</c:v>
                </c:pt>
                <c:pt idx="47">
                  <c:v>42917</c:v>
                </c:pt>
                <c:pt idx="48">
                  <c:v>43009</c:v>
                </c:pt>
                <c:pt idx="49">
                  <c:v>43101</c:v>
                </c:pt>
                <c:pt idx="50">
                  <c:v>43191</c:v>
                </c:pt>
                <c:pt idx="51">
                  <c:v>43282</c:v>
                </c:pt>
                <c:pt idx="52">
                  <c:v>43374</c:v>
                </c:pt>
                <c:pt idx="53">
                  <c:v>43466</c:v>
                </c:pt>
                <c:pt idx="54">
                  <c:v>43556</c:v>
                </c:pt>
                <c:pt idx="55">
                  <c:v>43647</c:v>
                </c:pt>
                <c:pt idx="56">
                  <c:v>43739</c:v>
                </c:pt>
                <c:pt idx="57">
                  <c:v>43831</c:v>
                </c:pt>
                <c:pt idx="58">
                  <c:v>43922</c:v>
                </c:pt>
                <c:pt idx="59">
                  <c:v>44013</c:v>
                </c:pt>
                <c:pt idx="60">
                  <c:v>44105</c:v>
                </c:pt>
                <c:pt idx="61">
                  <c:v>44470</c:v>
                </c:pt>
                <c:pt idx="62">
                  <c:v>44562</c:v>
                </c:pt>
                <c:pt idx="63">
                  <c:v>44927</c:v>
                </c:pt>
                <c:pt idx="64">
                  <c:v>45017</c:v>
                </c:pt>
                <c:pt idx="65">
                  <c:v>45200</c:v>
                </c:pt>
                <c:pt idx="66">
                  <c:v>45383</c:v>
                </c:pt>
                <c:pt idx="67">
                  <c:v>45474</c:v>
                </c:pt>
                <c:pt idx="68">
                  <c:v>45566</c:v>
                </c:pt>
                <c:pt idx="69">
                  <c:v>45748</c:v>
                </c:pt>
                <c:pt idx="70">
                  <c:v>45839</c:v>
                </c:pt>
                <c:pt idx="71">
                  <c:v>45931</c:v>
                </c:pt>
                <c:pt idx="72">
                  <c:v>46023</c:v>
                </c:pt>
                <c:pt idx="73">
                  <c:v>46113</c:v>
                </c:pt>
              </c:numCache>
            </c:numRef>
          </c:xVal>
          <c:yVal>
            <c:numRef>
              <c:f>'Analysis and Pivot Tables 2'!$G$25:$G$98</c:f>
              <c:numCache>
                <c:formatCode>General</c:formatCode>
                <c:ptCount val="74"/>
                <c:pt idx="2">
                  <c:v>16461</c:v>
                </c:pt>
                <c:pt idx="3">
                  <c:v>13699</c:v>
                </c:pt>
                <c:pt idx="4">
                  <c:v>32361</c:v>
                </c:pt>
                <c:pt idx="5">
                  <c:v>13599</c:v>
                </c:pt>
                <c:pt idx="6">
                  <c:v>2321</c:v>
                </c:pt>
                <c:pt idx="7">
                  <c:v>442</c:v>
                </c:pt>
                <c:pt idx="8">
                  <c:v>2178</c:v>
                </c:pt>
                <c:pt idx="9">
                  <c:v>210360</c:v>
                </c:pt>
                <c:pt idx="10">
                  <c:v>12128</c:v>
                </c:pt>
                <c:pt idx="11">
                  <c:v>1171</c:v>
                </c:pt>
                <c:pt idx="12">
                  <c:v>4313</c:v>
                </c:pt>
                <c:pt idx="13">
                  <c:v>1078531</c:v>
                </c:pt>
                <c:pt idx="14">
                  <c:v>1369</c:v>
                </c:pt>
                <c:pt idx="15">
                  <c:v>25029</c:v>
                </c:pt>
                <c:pt idx="16">
                  <c:v>171312</c:v>
                </c:pt>
                <c:pt idx="17">
                  <c:v>62324</c:v>
                </c:pt>
                <c:pt idx="18">
                  <c:v>2592</c:v>
                </c:pt>
                <c:pt idx="19">
                  <c:v>822040</c:v>
                </c:pt>
                <c:pt idx="20">
                  <c:v>11402</c:v>
                </c:pt>
                <c:pt idx="21">
                  <c:v>31573</c:v>
                </c:pt>
                <c:pt idx="22">
                  <c:v>209520</c:v>
                </c:pt>
                <c:pt idx="23">
                  <c:v>21720</c:v>
                </c:pt>
                <c:pt idx="24">
                  <c:v>1611858</c:v>
                </c:pt>
                <c:pt idx="25">
                  <c:v>8565</c:v>
                </c:pt>
                <c:pt idx="26">
                  <c:v>73762</c:v>
                </c:pt>
                <c:pt idx="27">
                  <c:v>280508</c:v>
                </c:pt>
                <c:pt idx="28">
                  <c:v>237632</c:v>
                </c:pt>
                <c:pt idx="29">
                  <c:v>779192</c:v>
                </c:pt>
                <c:pt idx="30">
                  <c:v>188246</c:v>
                </c:pt>
                <c:pt idx="31">
                  <c:v>895725</c:v>
                </c:pt>
                <c:pt idx="32">
                  <c:v>69987</c:v>
                </c:pt>
                <c:pt idx="33">
                  <c:v>28783</c:v>
                </c:pt>
                <c:pt idx="34">
                  <c:v>21302</c:v>
                </c:pt>
                <c:pt idx="35">
                  <c:v>167037</c:v>
                </c:pt>
                <c:pt idx="36">
                  <c:v>13319</c:v>
                </c:pt>
                <c:pt idx="37">
                  <c:v>141561</c:v>
                </c:pt>
                <c:pt idx="38">
                  <c:v>970927</c:v>
                </c:pt>
                <c:pt idx="39">
                  <c:v>405729</c:v>
                </c:pt>
                <c:pt idx="40">
                  <c:v>1571618</c:v>
                </c:pt>
                <c:pt idx="41">
                  <c:v>270597</c:v>
                </c:pt>
                <c:pt idx="42">
                  <c:v>1325906</c:v>
                </c:pt>
                <c:pt idx="43">
                  <c:v>159141</c:v>
                </c:pt>
                <c:pt idx="44">
                  <c:v>203766</c:v>
                </c:pt>
                <c:pt idx="45">
                  <c:v>877790</c:v>
                </c:pt>
                <c:pt idx="46">
                  <c:v>145536</c:v>
                </c:pt>
                <c:pt idx="47">
                  <c:v>1169045</c:v>
                </c:pt>
                <c:pt idx="48">
                  <c:v>92414</c:v>
                </c:pt>
                <c:pt idx="49">
                  <c:v>271547</c:v>
                </c:pt>
                <c:pt idx="50">
                  <c:v>632635</c:v>
                </c:pt>
                <c:pt idx="51">
                  <c:v>109897</c:v>
                </c:pt>
                <c:pt idx="52">
                  <c:v>2338677</c:v>
                </c:pt>
                <c:pt idx="53">
                  <c:v>622736</c:v>
                </c:pt>
                <c:pt idx="54">
                  <c:v>224679</c:v>
                </c:pt>
                <c:pt idx="55">
                  <c:v>150687</c:v>
                </c:pt>
                <c:pt idx="56">
                  <c:v>15661</c:v>
                </c:pt>
                <c:pt idx="57">
                  <c:v>53012</c:v>
                </c:pt>
                <c:pt idx="58">
                  <c:v>803290</c:v>
                </c:pt>
                <c:pt idx="59">
                  <c:v>631503</c:v>
                </c:pt>
                <c:pt idx="60">
                  <c:v>4979</c:v>
                </c:pt>
                <c:pt idx="61">
                  <c:v>33949</c:v>
                </c:pt>
                <c:pt idx="62">
                  <c:v>823410</c:v>
                </c:pt>
                <c:pt idx="63">
                  <c:v>3208</c:v>
                </c:pt>
                <c:pt idx="64">
                  <c:v>163700</c:v>
                </c:pt>
                <c:pt idx="65">
                  <c:v>410566</c:v>
                </c:pt>
                <c:pt idx="66">
                  <c:v>70376</c:v>
                </c:pt>
                <c:pt idx="67">
                  <c:v>8</c:v>
                </c:pt>
                <c:pt idx="68">
                  <c:v>86</c:v>
                </c:pt>
                <c:pt idx="69">
                  <c:v>127379</c:v>
                </c:pt>
                <c:pt idx="70">
                  <c:v>327</c:v>
                </c:pt>
                <c:pt idx="71">
                  <c:v>2619</c:v>
                </c:pt>
                <c:pt idx="72">
                  <c:v>172980</c:v>
                </c:pt>
                <c:pt idx="73">
                  <c:v>1004</c:v>
                </c:pt>
              </c:numCache>
            </c:numRef>
          </c:yVal>
          <c:smooth val="1"/>
          <c:extLst>
            <c:ext xmlns:c16="http://schemas.microsoft.com/office/drawing/2014/chart" uri="{C3380CC4-5D6E-409C-BE32-E72D297353CC}">
              <c16:uniqueId val="{00000000-B513-478E-BCAB-58947A89FFA6}"/>
            </c:ext>
          </c:extLst>
        </c:ser>
        <c:dLbls>
          <c:showLegendKey val="0"/>
          <c:showVal val="0"/>
          <c:showCatName val="0"/>
          <c:showSerName val="0"/>
          <c:showPercent val="0"/>
          <c:showBubbleSize val="0"/>
        </c:dLbls>
        <c:axId val="1610617864"/>
        <c:axId val="155945991"/>
      </c:scatterChart>
      <c:valAx>
        <c:axId val="1610617864"/>
        <c:scaling>
          <c:orientation val="minMax"/>
          <c:min val="35000"/>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45991"/>
        <c:crosses val="autoZero"/>
        <c:crossBetween val="midCat"/>
      </c:valAx>
      <c:valAx>
        <c:axId val="1559459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number of reviews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61786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circle"/>
            <c:size val="5"/>
            <c:spPr>
              <a:solidFill>
                <a:srgbClr val="0070C0"/>
              </a:solidFill>
              <a:ln w="9525">
                <a:solidFill>
                  <a:schemeClr val="accent1"/>
                </a:solidFill>
              </a:ln>
              <a:effectLst/>
            </c:spPr>
          </c:marker>
          <c:trendline>
            <c:spPr>
              <a:ln w="19050" cap="rnd">
                <a:solidFill>
                  <a:srgbClr val="FF0000"/>
                </a:solidFill>
                <a:prstDash val="sysDot"/>
              </a:ln>
              <a:effectLst/>
            </c:spPr>
            <c:trendlineType val="movingAvg"/>
            <c:period val="5"/>
            <c:dispRSqr val="0"/>
            <c:dispEq val="0"/>
          </c:trendline>
          <c:xVal>
            <c:numRef>
              <c:f>'Analysis and Pivot Tables 1'!$D$5:$D$94</c:f>
              <c:numCache>
                <c:formatCode>General</c:formatCode>
                <c:ptCount val="90"/>
                <c:pt idx="0">
                  <c:v>2</c:v>
                </c:pt>
                <c:pt idx="1">
                  <c:v>3</c:v>
                </c:pt>
                <c:pt idx="2">
                  <c:v>5</c:v>
                </c:pt>
                <c:pt idx="3">
                  <c:v>6</c:v>
                </c:pt>
                <c:pt idx="4">
                  <c:v>8</c:v>
                </c:pt>
                <c:pt idx="5">
                  <c:v>10</c:v>
                </c:pt>
                <c:pt idx="6">
                  <c:v>11</c:v>
                </c:pt>
                <c:pt idx="7">
                  <c:v>12</c:v>
                </c:pt>
                <c:pt idx="8">
                  <c:v>13</c:v>
                </c:pt>
                <c:pt idx="9">
                  <c:v>14</c:v>
                </c:pt>
                <c:pt idx="10">
                  <c:v>15</c:v>
                </c:pt>
                <c:pt idx="11">
                  <c:v>16</c:v>
                </c:pt>
                <c:pt idx="12">
                  <c:v>17</c:v>
                </c:pt>
                <c:pt idx="13">
                  <c:v>18</c:v>
                </c:pt>
                <c:pt idx="14">
                  <c:v>19</c:v>
                </c:pt>
                <c:pt idx="15">
                  <c:v>20</c:v>
                </c:pt>
                <c:pt idx="16">
                  <c:v>21</c:v>
                </c:pt>
                <c:pt idx="17">
                  <c:v>22</c:v>
                </c:pt>
                <c:pt idx="18">
                  <c:v>23</c:v>
                </c:pt>
                <c:pt idx="19">
                  <c:v>24</c:v>
                </c:pt>
                <c:pt idx="20">
                  <c:v>25</c:v>
                </c:pt>
                <c:pt idx="21">
                  <c:v>26</c:v>
                </c:pt>
                <c:pt idx="22">
                  <c:v>27</c:v>
                </c:pt>
                <c:pt idx="23">
                  <c:v>28</c:v>
                </c:pt>
                <c:pt idx="24">
                  <c:v>29</c:v>
                </c:pt>
                <c:pt idx="25">
                  <c:v>30</c:v>
                </c:pt>
                <c:pt idx="26">
                  <c:v>31</c:v>
                </c:pt>
                <c:pt idx="27">
                  <c:v>32</c:v>
                </c:pt>
                <c:pt idx="28">
                  <c:v>33</c:v>
                </c:pt>
                <c:pt idx="29">
                  <c:v>34</c:v>
                </c:pt>
                <c:pt idx="30">
                  <c:v>35</c:v>
                </c:pt>
                <c:pt idx="31">
                  <c:v>36</c:v>
                </c:pt>
                <c:pt idx="32">
                  <c:v>37</c:v>
                </c:pt>
                <c:pt idx="33">
                  <c:v>38</c:v>
                </c:pt>
                <c:pt idx="34">
                  <c:v>40</c:v>
                </c:pt>
                <c:pt idx="35">
                  <c:v>41</c:v>
                </c:pt>
                <c:pt idx="36">
                  <c:v>42</c:v>
                </c:pt>
                <c:pt idx="37">
                  <c:v>43</c:v>
                </c:pt>
                <c:pt idx="38">
                  <c:v>44</c:v>
                </c:pt>
                <c:pt idx="39">
                  <c:v>45</c:v>
                </c:pt>
                <c:pt idx="40">
                  <c:v>46</c:v>
                </c:pt>
                <c:pt idx="41">
                  <c:v>47</c:v>
                </c:pt>
                <c:pt idx="42">
                  <c:v>48</c:v>
                </c:pt>
                <c:pt idx="43">
                  <c:v>49</c:v>
                </c:pt>
                <c:pt idx="44">
                  <c:v>50</c:v>
                </c:pt>
                <c:pt idx="45">
                  <c:v>51</c:v>
                </c:pt>
                <c:pt idx="46">
                  <c:v>52</c:v>
                </c:pt>
                <c:pt idx="47">
                  <c:v>53</c:v>
                </c:pt>
                <c:pt idx="48">
                  <c:v>54</c:v>
                </c:pt>
                <c:pt idx="49">
                  <c:v>55</c:v>
                </c:pt>
                <c:pt idx="50">
                  <c:v>58</c:v>
                </c:pt>
                <c:pt idx="51">
                  <c:v>59</c:v>
                </c:pt>
                <c:pt idx="52">
                  <c:v>60</c:v>
                </c:pt>
                <c:pt idx="53">
                  <c:v>61</c:v>
                </c:pt>
                <c:pt idx="54">
                  <c:v>63</c:v>
                </c:pt>
                <c:pt idx="55">
                  <c:v>65</c:v>
                </c:pt>
                <c:pt idx="56">
                  <c:v>68</c:v>
                </c:pt>
                <c:pt idx="57">
                  <c:v>69</c:v>
                </c:pt>
                <c:pt idx="58">
                  <c:v>70</c:v>
                </c:pt>
                <c:pt idx="59">
                  <c:v>72</c:v>
                </c:pt>
                <c:pt idx="60">
                  <c:v>73</c:v>
                </c:pt>
                <c:pt idx="61">
                  <c:v>75</c:v>
                </c:pt>
                <c:pt idx="62">
                  <c:v>77</c:v>
                </c:pt>
                <c:pt idx="63">
                  <c:v>78</c:v>
                </c:pt>
                <c:pt idx="64">
                  <c:v>79</c:v>
                </c:pt>
                <c:pt idx="65">
                  <c:v>80</c:v>
                </c:pt>
                <c:pt idx="66">
                  <c:v>81</c:v>
                </c:pt>
                <c:pt idx="67">
                  <c:v>85</c:v>
                </c:pt>
                <c:pt idx="68">
                  <c:v>88</c:v>
                </c:pt>
                <c:pt idx="69">
                  <c:v>91</c:v>
                </c:pt>
                <c:pt idx="70">
                  <c:v>96</c:v>
                </c:pt>
                <c:pt idx="71">
                  <c:v>99</c:v>
                </c:pt>
                <c:pt idx="72">
                  <c:v>100</c:v>
                </c:pt>
                <c:pt idx="73">
                  <c:v>101</c:v>
                </c:pt>
                <c:pt idx="74">
                  <c:v>104</c:v>
                </c:pt>
                <c:pt idx="75">
                  <c:v>106</c:v>
                </c:pt>
                <c:pt idx="76">
                  <c:v>120</c:v>
                </c:pt>
                <c:pt idx="77">
                  <c:v>137</c:v>
                </c:pt>
                <c:pt idx="78">
                  <c:v>146</c:v>
                </c:pt>
                <c:pt idx="79">
                  <c:v>156</c:v>
                </c:pt>
                <c:pt idx="80">
                  <c:v>161</c:v>
                </c:pt>
                <c:pt idx="81">
                  <c:v>171</c:v>
                </c:pt>
                <c:pt idx="82">
                  <c:v>188</c:v>
                </c:pt>
                <c:pt idx="83">
                  <c:v>193</c:v>
                </c:pt>
                <c:pt idx="84">
                  <c:v>198</c:v>
                </c:pt>
                <c:pt idx="85">
                  <c:v>219</c:v>
                </c:pt>
                <c:pt idx="86">
                  <c:v>255</c:v>
                </c:pt>
                <c:pt idx="87">
                  <c:v>307</c:v>
                </c:pt>
                <c:pt idx="88">
                  <c:v>452</c:v>
                </c:pt>
              </c:numCache>
            </c:numRef>
          </c:xVal>
          <c:yVal>
            <c:numRef>
              <c:f>'Analysis and Pivot Tables 1'!$E$5:$E$94</c:f>
              <c:numCache>
                <c:formatCode>General</c:formatCode>
                <c:ptCount val="90"/>
                <c:pt idx="0">
                  <c:v>2388</c:v>
                </c:pt>
                <c:pt idx="1">
                  <c:v>78</c:v>
                </c:pt>
                <c:pt idx="2">
                  <c:v>260</c:v>
                </c:pt>
                <c:pt idx="3">
                  <c:v>1430</c:v>
                </c:pt>
                <c:pt idx="4">
                  <c:v>602.25</c:v>
                </c:pt>
                <c:pt idx="5">
                  <c:v>2088</c:v>
                </c:pt>
                <c:pt idx="6">
                  <c:v>296</c:v>
                </c:pt>
                <c:pt idx="7">
                  <c:v>714.83333333333337</c:v>
                </c:pt>
                <c:pt idx="8">
                  <c:v>306</c:v>
                </c:pt>
                <c:pt idx="9">
                  <c:v>554.6</c:v>
                </c:pt>
                <c:pt idx="10">
                  <c:v>1576</c:v>
                </c:pt>
                <c:pt idx="11">
                  <c:v>1541.5</c:v>
                </c:pt>
                <c:pt idx="12">
                  <c:v>840</c:v>
                </c:pt>
                <c:pt idx="13">
                  <c:v>2994.5</c:v>
                </c:pt>
                <c:pt idx="14">
                  <c:v>809</c:v>
                </c:pt>
                <c:pt idx="15">
                  <c:v>1656</c:v>
                </c:pt>
                <c:pt idx="16">
                  <c:v>2362</c:v>
                </c:pt>
                <c:pt idx="17">
                  <c:v>1085.8</c:v>
                </c:pt>
                <c:pt idx="18">
                  <c:v>2920</c:v>
                </c:pt>
                <c:pt idx="19">
                  <c:v>2107.5</c:v>
                </c:pt>
                <c:pt idx="20">
                  <c:v>1482</c:v>
                </c:pt>
                <c:pt idx="21">
                  <c:v>6466.666666666667</c:v>
                </c:pt>
                <c:pt idx="22">
                  <c:v>2095.6666666666665</c:v>
                </c:pt>
                <c:pt idx="23">
                  <c:v>488</c:v>
                </c:pt>
                <c:pt idx="25">
                  <c:v>1328</c:v>
                </c:pt>
                <c:pt idx="26">
                  <c:v>4918</c:v>
                </c:pt>
                <c:pt idx="28">
                  <c:v>944.66666666666663</c:v>
                </c:pt>
                <c:pt idx="29">
                  <c:v>3113</c:v>
                </c:pt>
                <c:pt idx="30">
                  <c:v>1042</c:v>
                </c:pt>
                <c:pt idx="32">
                  <c:v>2372.5714285714284</c:v>
                </c:pt>
                <c:pt idx="33">
                  <c:v>4651.5</c:v>
                </c:pt>
                <c:pt idx="34">
                  <c:v>2353</c:v>
                </c:pt>
                <c:pt idx="35">
                  <c:v>5234</c:v>
                </c:pt>
                <c:pt idx="36">
                  <c:v>5450.4</c:v>
                </c:pt>
                <c:pt idx="37">
                  <c:v>2935.4</c:v>
                </c:pt>
                <c:pt idx="38">
                  <c:v>2492.5</c:v>
                </c:pt>
                <c:pt idx="40">
                  <c:v>6624.5</c:v>
                </c:pt>
                <c:pt idx="41">
                  <c:v>4927</c:v>
                </c:pt>
                <c:pt idx="42">
                  <c:v>9153.5</c:v>
                </c:pt>
                <c:pt idx="43">
                  <c:v>3279.8</c:v>
                </c:pt>
                <c:pt idx="44">
                  <c:v>2452.75</c:v>
                </c:pt>
                <c:pt idx="45">
                  <c:v>9963.75</c:v>
                </c:pt>
                <c:pt idx="46">
                  <c:v>7746</c:v>
                </c:pt>
                <c:pt idx="47">
                  <c:v>1194.5</c:v>
                </c:pt>
                <c:pt idx="48">
                  <c:v>4342.666666666667</c:v>
                </c:pt>
                <c:pt idx="49">
                  <c:v>6845</c:v>
                </c:pt>
                <c:pt idx="51">
                  <c:v>3795</c:v>
                </c:pt>
                <c:pt idx="52">
                  <c:v>3216.5</c:v>
                </c:pt>
                <c:pt idx="54">
                  <c:v>4207</c:v>
                </c:pt>
                <c:pt idx="55">
                  <c:v>1456</c:v>
                </c:pt>
                <c:pt idx="56">
                  <c:v>1526</c:v>
                </c:pt>
                <c:pt idx="57">
                  <c:v>16196</c:v>
                </c:pt>
                <c:pt idx="58">
                  <c:v>4079.3333333333335</c:v>
                </c:pt>
                <c:pt idx="59">
                  <c:v>14660</c:v>
                </c:pt>
                <c:pt idx="60">
                  <c:v>3174.5</c:v>
                </c:pt>
                <c:pt idx="61">
                  <c:v>8290.5</c:v>
                </c:pt>
                <c:pt idx="63">
                  <c:v>10829</c:v>
                </c:pt>
                <c:pt idx="64">
                  <c:v>2310</c:v>
                </c:pt>
                <c:pt idx="65">
                  <c:v>2145.6666666666665</c:v>
                </c:pt>
                <c:pt idx="67">
                  <c:v>4838</c:v>
                </c:pt>
                <c:pt idx="68">
                  <c:v>2925</c:v>
                </c:pt>
                <c:pt idx="70">
                  <c:v>3471</c:v>
                </c:pt>
                <c:pt idx="71">
                  <c:v>5983.5</c:v>
                </c:pt>
                <c:pt idx="72">
                  <c:v>68</c:v>
                </c:pt>
                <c:pt idx="73">
                  <c:v>2558</c:v>
                </c:pt>
                <c:pt idx="74">
                  <c:v>2552</c:v>
                </c:pt>
                <c:pt idx="75">
                  <c:v>12977</c:v>
                </c:pt>
                <c:pt idx="77">
                  <c:v>13916</c:v>
                </c:pt>
                <c:pt idx="78">
                  <c:v>8034</c:v>
                </c:pt>
                <c:pt idx="79">
                  <c:v>35862</c:v>
                </c:pt>
                <c:pt idx="81">
                  <c:v>9587</c:v>
                </c:pt>
                <c:pt idx="82">
                  <c:v>46384</c:v>
                </c:pt>
                <c:pt idx="85">
                  <c:v>31708</c:v>
                </c:pt>
                <c:pt idx="86">
                  <c:v>30000</c:v>
                </c:pt>
                <c:pt idx="87">
                  <c:v>9574</c:v>
                </c:pt>
                <c:pt idx="88">
                  <c:v>3781</c:v>
                </c:pt>
              </c:numCache>
            </c:numRef>
          </c:yVal>
          <c:smooth val="0"/>
          <c:extLst>
            <c:ext xmlns:c16="http://schemas.microsoft.com/office/drawing/2014/chart" uri="{C3380CC4-5D6E-409C-BE32-E72D297353CC}">
              <c16:uniqueId val="{00000001-E830-46BB-AD21-B99D188DC3F9}"/>
            </c:ext>
          </c:extLst>
        </c:ser>
        <c:dLbls>
          <c:showLegendKey val="0"/>
          <c:showVal val="0"/>
          <c:showCatName val="0"/>
          <c:showSerName val="0"/>
          <c:showPercent val="0"/>
          <c:showBubbleSize val="0"/>
        </c:dLbls>
        <c:axId val="1260275720"/>
        <c:axId val="1260289032"/>
      </c:scatterChart>
      <c:valAx>
        <c:axId val="1260275720"/>
        <c:scaling>
          <c:orientation val="minMax"/>
          <c:max val="1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achievements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289032"/>
        <c:crosses val="autoZero"/>
        <c:crossBetween val="midCat"/>
      </c:valAx>
      <c:valAx>
        <c:axId val="1260289032"/>
        <c:scaling>
          <c:orientation val="minMax"/>
          <c:max val="2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 to 100% in minutes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27572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[Sanitised_Data - Copy.xlsx]Analysis and Pivot Tables 2!PivotTable1</c:name>
    <c:fmtId val="7"/>
  </c:pivotSource>
  <c:chart>
    <c:autoTitleDeleted val="1"/>
    <c:pivotFmts>
      <c:pivotFmt>
        <c:idx val="0"/>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and Pivot Tables 2'!$B$3</c:f>
              <c:strCache>
                <c:ptCount val="1"/>
                <c:pt idx="0">
                  <c:v>Total</c:v>
                </c:pt>
              </c:strCache>
            </c:strRef>
          </c:tx>
          <c:spPr>
            <a:solidFill>
              <a:schemeClr val="accent1"/>
            </a:solidFill>
            <a:ln>
              <a:noFill/>
            </a:ln>
            <a:effectLst/>
          </c:spPr>
          <c:invertIfNegative val="0"/>
          <c:cat>
            <c:strRef>
              <c:f>'Analysis and Pivot Tables 2'!$A$4:$A$11</c:f>
              <c:strCache>
                <c:ptCount val="7"/>
                <c:pt idx="0">
                  <c:v>Mostly Negative</c:v>
                </c:pt>
                <c:pt idx="1">
                  <c:v>Mixed</c:v>
                </c:pt>
                <c:pt idx="2">
                  <c:v>Positive</c:v>
                </c:pt>
                <c:pt idx="3">
                  <c:v>Mostly Positive</c:v>
                </c:pt>
                <c:pt idx="4">
                  <c:v>Very Positive</c:v>
                </c:pt>
                <c:pt idx="5">
                  <c:v>Overwhelmingly Positive</c:v>
                </c:pt>
                <c:pt idx="6">
                  <c:v>(blank)</c:v>
                </c:pt>
              </c:strCache>
            </c:strRef>
          </c:cat>
          <c:val>
            <c:numRef>
              <c:f>'Analysis and Pivot Tables 2'!$B$4:$B$11</c:f>
              <c:numCache>
                <c:formatCode>General</c:formatCode>
                <c:ptCount val="7"/>
                <c:pt idx="0">
                  <c:v>258</c:v>
                </c:pt>
                <c:pt idx="1">
                  <c:v>607.1875</c:v>
                </c:pt>
                <c:pt idx="3">
                  <c:v>898.07407407407402</c:v>
                </c:pt>
                <c:pt idx="4">
                  <c:v>1014.5932203389831</c:v>
                </c:pt>
                <c:pt idx="5">
                  <c:v>1130.4905660377358</c:v>
                </c:pt>
              </c:numCache>
            </c:numRef>
          </c:val>
          <c:extLst>
            <c:ext xmlns:c16="http://schemas.microsoft.com/office/drawing/2014/chart" uri="{C3380CC4-5D6E-409C-BE32-E72D297353CC}">
              <c16:uniqueId val="{00000000-3721-4FF3-B6C5-995D52EA628D}"/>
            </c:ext>
          </c:extLst>
        </c:ser>
        <c:dLbls>
          <c:showLegendKey val="0"/>
          <c:showVal val="0"/>
          <c:showCatName val="0"/>
          <c:showSerName val="0"/>
          <c:showPercent val="0"/>
          <c:showBubbleSize val="0"/>
        </c:dLbls>
        <c:gapWidth val="150"/>
        <c:axId val="1480858632"/>
        <c:axId val="1480906248"/>
      </c:barChart>
      <c:catAx>
        <c:axId val="1480858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906248"/>
        <c:crosses val="autoZero"/>
        <c:auto val="1"/>
        <c:lblAlgn val="ctr"/>
        <c:lblOffset val="100"/>
        <c:noMultiLvlLbl val="0"/>
      </c:catAx>
      <c:valAx>
        <c:axId val="1480906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 to beat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8586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'Analysis and Pivot Tables 2'!$G$24</c:f>
              <c:strCache>
                <c:ptCount val="1"/>
                <c:pt idx="0">
                  <c:v>Sum of Total_number_of_reviews</c:v>
                </c:pt>
              </c:strCache>
            </c:strRef>
          </c:tx>
          <c:spPr>
            <a:ln w="28575" cap="rnd">
              <a:solidFill>
                <a:schemeClr val="accent1"/>
              </a:solidFill>
              <a:round/>
            </a:ln>
            <a:effectLst/>
          </c:spPr>
          <c:marker>
            <c:symbol val="none"/>
          </c:marker>
          <c:cat>
            <c:numRef>
              <c:f>'Analysis and Pivot Tables 2'!$E$25:$E$98</c:f>
              <c:numCache>
                <c:formatCode>m/d/yyyy</c:formatCode>
                <c:ptCount val="74"/>
                <c:pt idx="2">
                  <c:v>35612</c:v>
                </c:pt>
                <c:pt idx="3">
                  <c:v>36069</c:v>
                </c:pt>
                <c:pt idx="4">
                  <c:v>36161</c:v>
                </c:pt>
                <c:pt idx="5">
                  <c:v>36617</c:v>
                </c:pt>
                <c:pt idx="6">
                  <c:v>36892</c:v>
                </c:pt>
                <c:pt idx="7">
                  <c:v>37165</c:v>
                </c:pt>
                <c:pt idx="8">
                  <c:v>37987</c:v>
                </c:pt>
                <c:pt idx="9">
                  <c:v>38261</c:v>
                </c:pt>
                <c:pt idx="10">
                  <c:v>38443</c:v>
                </c:pt>
                <c:pt idx="11">
                  <c:v>38534</c:v>
                </c:pt>
                <c:pt idx="12">
                  <c:v>38808</c:v>
                </c:pt>
                <c:pt idx="13">
                  <c:v>38991</c:v>
                </c:pt>
                <c:pt idx="14">
                  <c:v>39083</c:v>
                </c:pt>
                <c:pt idx="15">
                  <c:v>39264</c:v>
                </c:pt>
                <c:pt idx="16">
                  <c:v>39356</c:v>
                </c:pt>
                <c:pt idx="17">
                  <c:v>39722</c:v>
                </c:pt>
                <c:pt idx="18">
                  <c:v>39814</c:v>
                </c:pt>
                <c:pt idx="19">
                  <c:v>40087</c:v>
                </c:pt>
                <c:pt idx="20">
                  <c:v>40179</c:v>
                </c:pt>
                <c:pt idx="21">
                  <c:v>40360</c:v>
                </c:pt>
                <c:pt idx="22">
                  <c:v>40452</c:v>
                </c:pt>
                <c:pt idx="23">
                  <c:v>40544</c:v>
                </c:pt>
                <c:pt idx="24">
                  <c:v>40634</c:v>
                </c:pt>
                <c:pt idx="25">
                  <c:v>40725</c:v>
                </c:pt>
                <c:pt idx="26">
                  <c:v>40909</c:v>
                </c:pt>
                <c:pt idx="27">
                  <c:v>41091</c:v>
                </c:pt>
                <c:pt idx="28">
                  <c:v>41183</c:v>
                </c:pt>
                <c:pt idx="29">
                  <c:v>41275</c:v>
                </c:pt>
                <c:pt idx="30">
                  <c:v>41365</c:v>
                </c:pt>
                <c:pt idx="31">
                  <c:v>41456</c:v>
                </c:pt>
                <c:pt idx="32">
                  <c:v>41548</c:v>
                </c:pt>
                <c:pt idx="33">
                  <c:v>41640</c:v>
                </c:pt>
                <c:pt idx="34">
                  <c:v>41730</c:v>
                </c:pt>
                <c:pt idx="35">
                  <c:v>41821</c:v>
                </c:pt>
                <c:pt idx="36">
                  <c:v>41913</c:v>
                </c:pt>
                <c:pt idx="37">
                  <c:v>42005</c:v>
                </c:pt>
                <c:pt idx="38">
                  <c:v>42095</c:v>
                </c:pt>
                <c:pt idx="39">
                  <c:v>42186</c:v>
                </c:pt>
                <c:pt idx="40">
                  <c:v>42278</c:v>
                </c:pt>
                <c:pt idx="41">
                  <c:v>42370</c:v>
                </c:pt>
                <c:pt idx="42">
                  <c:v>42461</c:v>
                </c:pt>
                <c:pt idx="43">
                  <c:v>42552</c:v>
                </c:pt>
                <c:pt idx="44">
                  <c:v>42644</c:v>
                </c:pt>
                <c:pt idx="45">
                  <c:v>42736</c:v>
                </c:pt>
                <c:pt idx="46">
                  <c:v>42826</c:v>
                </c:pt>
                <c:pt idx="47">
                  <c:v>42917</c:v>
                </c:pt>
                <c:pt idx="48">
                  <c:v>43009</c:v>
                </c:pt>
                <c:pt idx="49">
                  <c:v>43101</c:v>
                </c:pt>
                <c:pt idx="50">
                  <c:v>43191</c:v>
                </c:pt>
                <c:pt idx="51">
                  <c:v>43282</c:v>
                </c:pt>
                <c:pt idx="52">
                  <c:v>43374</c:v>
                </c:pt>
                <c:pt idx="53">
                  <c:v>43466</c:v>
                </c:pt>
                <c:pt idx="54">
                  <c:v>43556</c:v>
                </c:pt>
                <c:pt idx="55">
                  <c:v>43647</c:v>
                </c:pt>
                <c:pt idx="56">
                  <c:v>43739</c:v>
                </c:pt>
                <c:pt idx="57">
                  <c:v>43831</c:v>
                </c:pt>
                <c:pt idx="58">
                  <c:v>43922</c:v>
                </c:pt>
                <c:pt idx="59">
                  <c:v>44013</c:v>
                </c:pt>
                <c:pt idx="60">
                  <c:v>44105</c:v>
                </c:pt>
                <c:pt idx="61">
                  <c:v>44470</c:v>
                </c:pt>
                <c:pt idx="62">
                  <c:v>44562</c:v>
                </c:pt>
                <c:pt idx="63">
                  <c:v>44927</c:v>
                </c:pt>
                <c:pt idx="64">
                  <c:v>45017</c:v>
                </c:pt>
                <c:pt idx="65">
                  <c:v>45200</c:v>
                </c:pt>
                <c:pt idx="66">
                  <c:v>45383</c:v>
                </c:pt>
                <c:pt idx="67">
                  <c:v>45474</c:v>
                </c:pt>
                <c:pt idx="68">
                  <c:v>45566</c:v>
                </c:pt>
                <c:pt idx="69">
                  <c:v>45748</c:v>
                </c:pt>
                <c:pt idx="70">
                  <c:v>45839</c:v>
                </c:pt>
                <c:pt idx="71">
                  <c:v>45931</c:v>
                </c:pt>
                <c:pt idx="72">
                  <c:v>46023</c:v>
                </c:pt>
                <c:pt idx="73">
                  <c:v>46113</c:v>
                </c:pt>
              </c:numCache>
            </c:numRef>
          </c:cat>
          <c:val>
            <c:numRef>
              <c:f>'Analysis and Pivot Tables 2'!$G$25:$G$98</c:f>
              <c:numCache>
                <c:formatCode>General</c:formatCode>
                <c:ptCount val="74"/>
                <c:pt idx="2">
                  <c:v>16461</c:v>
                </c:pt>
                <c:pt idx="3">
                  <c:v>13699</c:v>
                </c:pt>
                <c:pt idx="4">
                  <c:v>32361</c:v>
                </c:pt>
                <c:pt idx="5">
                  <c:v>13599</c:v>
                </c:pt>
                <c:pt idx="6">
                  <c:v>2321</c:v>
                </c:pt>
                <c:pt idx="7">
                  <c:v>442</c:v>
                </c:pt>
                <c:pt idx="8">
                  <c:v>2178</c:v>
                </c:pt>
                <c:pt idx="9">
                  <c:v>210360</c:v>
                </c:pt>
                <c:pt idx="10">
                  <c:v>12128</c:v>
                </c:pt>
                <c:pt idx="11">
                  <c:v>1171</c:v>
                </c:pt>
                <c:pt idx="12">
                  <c:v>4313</c:v>
                </c:pt>
                <c:pt idx="13">
                  <c:v>1078531</c:v>
                </c:pt>
                <c:pt idx="14">
                  <c:v>1369</c:v>
                </c:pt>
                <c:pt idx="15">
                  <c:v>25029</c:v>
                </c:pt>
                <c:pt idx="16">
                  <c:v>171312</c:v>
                </c:pt>
                <c:pt idx="17">
                  <c:v>62324</c:v>
                </c:pt>
                <c:pt idx="18">
                  <c:v>2592</c:v>
                </c:pt>
                <c:pt idx="19">
                  <c:v>822040</c:v>
                </c:pt>
                <c:pt idx="20">
                  <c:v>11402</c:v>
                </c:pt>
                <c:pt idx="21">
                  <c:v>31573</c:v>
                </c:pt>
                <c:pt idx="22">
                  <c:v>209520</c:v>
                </c:pt>
                <c:pt idx="23">
                  <c:v>21720</c:v>
                </c:pt>
                <c:pt idx="24">
                  <c:v>1611858</c:v>
                </c:pt>
                <c:pt idx="25">
                  <c:v>8565</c:v>
                </c:pt>
                <c:pt idx="26">
                  <c:v>73762</c:v>
                </c:pt>
                <c:pt idx="27">
                  <c:v>280508</c:v>
                </c:pt>
                <c:pt idx="28">
                  <c:v>237632</c:v>
                </c:pt>
                <c:pt idx="29">
                  <c:v>779192</c:v>
                </c:pt>
                <c:pt idx="30">
                  <c:v>188246</c:v>
                </c:pt>
                <c:pt idx="31">
                  <c:v>895725</c:v>
                </c:pt>
                <c:pt idx="32">
                  <c:v>69987</c:v>
                </c:pt>
                <c:pt idx="33">
                  <c:v>28783</c:v>
                </c:pt>
                <c:pt idx="34">
                  <c:v>21302</c:v>
                </c:pt>
                <c:pt idx="35">
                  <c:v>167037</c:v>
                </c:pt>
                <c:pt idx="36">
                  <c:v>13319</c:v>
                </c:pt>
                <c:pt idx="37">
                  <c:v>141561</c:v>
                </c:pt>
                <c:pt idx="38">
                  <c:v>970927</c:v>
                </c:pt>
                <c:pt idx="39">
                  <c:v>405729</c:v>
                </c:pt>
                <c:pt idx="40">
                  <c:v>1571618</c:v>
                </c:pt>
                <c:pt idx="41">
                  <c:v>270597</c:v>
                </c:pt>
                <c:pt idx="42">
                  <c:v>1325906</c:v>
                </c:pt>
                <c:pt idx="43">
                  <c:v>159141</c:v>
                </c:pt>
                <c:pt idx="44">
                  <c:v>203766</c:v>
                </c:pt>
                <c:pt idx="45">
                  <c:v>877790</c:v>
                </c:pt>
                <c:pt idx="46">
                  <c:v>145536</c:v>
                </c:pt>
                <c:pt idx="47">
                  <c:v>1169045</c:v>
                </c:pt>
                <c:pt idx="48">
                  <c:v>92414</c:v>
                </c:pt>
                <c:pt idx="49">
                  <c:v>271547</c:v>
                </c:pt>
                <c:pt idx="50">
                  <c:v>632635</c:v>
                </c:pt>
                <c:pt idx="51">
                  <c:v>109897</c:v>
                </c:pt>
                <c:pt idx="52">
                  <c:v>2338677</c:v>
                </c:pt>
                <c:pt idx="53">
                  <c:v>622736</c:v>
                </c:pt>
                <c:pt idx="54">
                  <c:v>224679</c:v>
                </c:pt>
                <c:pt idx="55">
                  <c:v>150687</c:v>
                </c:pt>
                <c:pt idx="56">
                  <c:v>15661</c:v>
                </c:pt>
                <c:pt idx="57">
                  <c:v>53012</c:v>
                </c:pt>
                <c:pt idx="58">
                  <c:v>803290</c:v>
                </c:pt>
                <c:pt idx="59">
                  <c:v>631503</c:v>
                </c:pt>
                <c:pt idx="60">
                  <c:v>4979</c:v>
                </c:pt>
                <c:pt idx="61">
                  <c:v>33949</c:v>
                </c:pt>
                <c:pt idx="62">
                  <c:v>823410</c:v>
                </c:pt>
                <c:pt idx="63">
                  <c:v>3208</c:v>
                </c:pt>
                <c:pt idx="64">
                  <c:v>163700</c:v>
                </c:pt>
                <c:pt idx="65">
                  <c:v>410566</c:v>
                </c:pt>
                <c:pt idx="66">
                  <c:v>70376</c:v>
                </c:pt>
                <c:pt idx="67">
                  <c:v>8</c:v>
                </c:pt>
                <c:pt idx="68">
                  <c:v>86</c:v>
                </c:pt>
                <c:pt idx="69">
                  <c:v>127379</c:v>
                </c:pt>
                <c:pt idx="70">
                  <c:v>327</c:v>
                </c:pt>
                <c:pt idx="71">
                  <c:v>2619</c:v>
                </c:pt>
                <c:pt idx="72">
                  <c:v>172980</c:v>
                </c:pt>
                <c:pt idx="73">
                  <c:v>1004</c:v>
                </c:pt>
              </c:numCache>
            </c:numRef>
          </c:val>
          <c:smooth val="0"/>
          <c:extLst>
            <c:ext xmlns:c16="http://schemas.microsoft.com/office/drawing/2014/chart" uri="{C3380CC4-5D6E-409C-BE32-E72D297353CC}">
              <c16:uniqueId val="{00000000-9CD0-40DF-9C68-66D13B818C6D}"/>
            </c:ext>
          </c:extLst>
        </c:ser>
        <c:dLbls>
          <c:showLegendKey val="0"/>
          <c:showVal val="0"/>
          <c:showCatName val="0"/>
          <c:showSerName val="0"/>
          <c:showPercent val="0"/>
          <c:showBubbleSize val="0"/>
        </c:dLbls>
        <c:smooth val="0"/>
        <c:axId val="1610617864"/>
        <c:axId val="155945991"/>
      </c:lineChart>
      <c:dateAx>
        <c:axId val="1610617864"/>
        <c:scaling>
          <c:orientation val="minMax"/>
          <c:max val="46909"/>
          <c:min val="35000"/>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45991"/>
        <c:crosses val="autoZero"/>
        <c:auto val="1"/>
        <c:lblOffset val="100"/>
        <c:baseTimeUnit val="months"/>
      </c:dateAx>
      <c:valAx>
        <c:axId val="1559459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number of reviews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617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123825</xdr:colOff>
      <xdr:row>1</xdr:row>
      <xdr:rowOff>114300</xdr:rowOff>
    </xdr:from>
    <xdr:to>
      <xdr:col>29</xdr:col>
      <xdr:colOff>85725</xdr:colOff>
      <xdr:row>20</xdr:row>
      <xdr:rowOff>76200</xdr:rowOff>
    </xdr:to>
    <xdr:graphicFrame macro="">
      <xdr:nvGraphicFramePr>
        <xdr:cNvPr id="4" name="Chart 3">
          <a:extLst>
            <a:ext uri="{FF2B5EF4-FFF2-40B4-BE49-F238E27FC236}">
              <a16:creationId xmlns:a16="http://schemas.microsoft.com/office/drawing/2014/main" id="{A92F788A-C6C7-2C51-1CC5-EA1C415AAF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76200</xdr:colOff>
      <xdr:row>21</xdr:row>
      <xdr:rowOff>142875</xdr:rowOff>
    </xdr:from>
    <xdr:to>
      <xdr:col>29</xdr:col>
      <xdr:colOff>38100</xdr:colOff>
      <xdr:row>40</xdr:row>
      <xdr:rowOff>104775</xdr:rowOff>
    </xdr:to>
    <xdr:graphicFrame macro="">
      <xdr:nvGraphicFramePr>
        <xdr:cNvPr id="5" name="Chart 4">
          <a:extLst>
            <a:ext uri="{FF2B5EF4-FFF2-40B4-BE49-F238E27FC236}">
              <a16:creationId xmlns:a16="http://schemas.microsoft.com/office/drawing/2014/main" id="{F880C0AB-D159-48C0-B367-055892C026E3}"/>
            </a:ext>
            <a:ext uri="{147F2762-F138-4A5C-976F-8EAC2B608ADB}">
              <a16:predDERef xmlns:a16="http://schemas.microsoft.com/office/drawing/2014/main" pred="{A92F788A-C6C7-2C51-1CC5-EA1C415AAF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276225</xdr:colOff>
      <xdr:row>2</xdr:row>
      <xdr:rowOff>0</xdr:rowOff>
    </xdr:from>
    <xdr:to>
      <xdr:col>6</xdr:col>
      <xdr:colOff>666750</xdr:colOff>
      <xdr:row>16</xdr:row>
      <xdr:rowOff>76200</xdr:rowOff>
    </xdr:to>
    <xdr:graphicFrame macro="">
      <xdr:nvGraphicFramePr>
        <xdr:cNvPr id="2" name="Chart 1">
          <a:extLst>
            <a:ext uri="{FF2B5EF4-FFF2-40B4-BE49-F238E27FC236}">
              <a16:creationId xmlns:a16="http://schemas.microsoft.com/office/drawing/2014/main" id="{B694AADE-68A6-9BF6-10EC-DCF5123AAF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428625</xdr:colOff>
      <xdr:row>22</xdr:row>
      <xdr:rowOff>142875</xdr:rowOff>
    </xdr:from>
    <xdr:to>
      <xdr:col>16</xdr:col>
      <xdr:colOff>19050</xdr:colOff>
      <xdr:row>44</xdr:row>
      <xdr:rowOff>9525</xdr:rowOff>
    </xdr:to>
    <xdr:graphicFrame macro="">
      <xdr:nvGraphicFramePr>
        <xdr:cNvPr id="6" name="Chart 5">
          <a:extLst>
            <a:ext uri="{FF2B5EF4-FFF2-40B4-BE49-F238E27FC236}">
              <a16:creationId xmlns:a16="http://schemas.microsoft.com/office/drawing/2014/main" id="{BAFF7FF4-C87F-1713-0C09-85346CE7DE03}"/>
            </a:ext>
            <a:ext uri="{147F2762-F138-4A5C-976F-8EAC2B608ADB}">
              <a16:predDERef xmlns:a16="http://schemas.microsoft.com/office/drawing/2014/main" pred="{B694AADE-68A6-9BF6-10EC-DCF5123AAF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171450</xdr:colOff>
      <xdr:row>8</xdr:row>
      <xdr:rowOff>180975</xdr:rowOff>
    </xdr:from>
    <xdr:to>
      <xdr:col>7</xdr:col>
      <xdr:colOff>1200150</xdr:colOff>
      <xdr:row>21</xdr:row>
      <xdr:rowOff>0</xdr:rowOff>
    </xdr:to>
    <xdr:graphicFrame macro="">
      <xdr:nvGraphicFramePr>
        <xdr:cNvPr id="2" name="Chart 1">
          <a:extLst>
            <a:ext uri="{FF2B5EF4-FFF2-40B4-BE49-F238E27FC236}">
              <a16:creationId xmlns:a16="http://schemas.microsoft.com/office/drawing/2014/main" id="{91B02AC2-95A8-4368-A9DD-A203784287B8}"/>
            </a:ext>
            <a:ext uri="{147F2762-F138-4A5C-976F-8EAC2B608ADB}">
              <a16:predDERef xmlns:a16="http://schemas.microsoft.com/office/drawing/2014/main" pred="{A92F788A-C6C7-2C51-1CC5-EA1C415AAF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371475</xdr:colOff>
      <xdr:row>25</xdr:row>
      <xdr:rowOff>171450</xdr:rowOff>
    </xdr:from>
    <xdr:to>
      <xdr:col>4</xdr:col>
      <xdr:colOff>666750</xdr:colOff>
      <xdr:row>39</xdr:row>
      <xdr:rowOff>19050</xdr:rowOff>
    </xdr:to>
    <xdr:graphicFrame macro="">
      <xdr:nvGraphicFramePr>
        <xdr:cNvPr id="3" name="Chart 2">
          <a:extLst>
            <a:ext uri="{FF2B5EF4-FFF2-40B4-BE49-F238E27FC236}">
              <a16:creationId xmlns:a16="http://schemas.microsoft.com/office/drawing/2014/main" id="{481EB14F-DB98-4844-A104-F99CE90293D8}"/>
            </a:ext>
            <a:ext uri="{147F2762-F138-4A5C-976F-8EAC2B608ADB}">
              <a16:predDERef xmlns:a16="http://schemas.microsoft.com/office/drawing/2014/main" pred="{91B02AC2-95A8-4368-A9DD-A203784287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76200</xdr:colOff>
      <xdr:row>42</xdr:row>
      <xdr:rowOff>180975</xdr:rowOff>
    </xdr:from>
    <xdr:to>
      <xdr:col>7</xdr:col>
      <xdr:colOff>962025</xdr:colOff>
      <xdr:row>61</xdr:row>
      <xdr:rowOff>161925</xdr:rowOff>
    </xdr:to>
    <xdr:graphicFrame macro="">
      <xdr:nvGraphicFramePr>
        <xdr:cNvPr id="4" name="Chart 3">
          <a:extLst>
            <a:ext uri="{FF2B5EF4-FFF2-40B4-BE49-F238E27FC236}">
              <a16:creationId xmlns:a16="http://schemas.microsoft.com/office/drawing/2014/main" id="{5580DE09-D5C9-4591-BD9F-5FB2EE500CEC}"/>
            </a:ext>
            <a:ext uri="{147F2762-F138-4A5C-976F-8EAC2B608ADB}">
              <a16:predDERef xmlns:a16="http://schemas.microsoft.com/office/drawing/2014/main" pred="{481EB14F-DB98-4844-A104-F99CE90293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15.602680902775" createdVersion="8" refreshedVersion="8" minRefreshableVersion="3" recordCount="269" xr:uid="{CE68B1BC-43C0-4ACF-B1B6-3AC9C5FBFA27}">
  <cacheSource type="worksheet">
    <worksheetSource name="Table1"/>
  </cacheSource>
  <cacheFields count="17">
    <cacheField name="Title" numFmtId="0">
      <sharedItems count="269">
        <s v="mr.jezko"/>
        <s v="dead rising 4"/>
        <s v="kim jong-boom"/>
        <s v="battle of frigates"/>
        <s v="agents of mayhem"/>
        <s v="thief"/>
        <s v="gods will be watching"/>
        <s v="no lights"/>
        <s v="think of the children"/>
        <s v="alien spidy"/>
        <s v="street fighter 30th anniversary collection"/>
        <s v="the swindle"/>
        <s v="a fistful of gun"/>
        <s v="this is the police 2"/>
        <s v="the suicide of rachel foster"/>
        <s v="deus ex invisible war"/>
        <s v="march of the eagles"/>
        <s v="sengoku"/>
        <s v="silent hill homecoming"/>
        <s v="unplagued"/>
        <s v="deus ex the fall"/>
        <s v="aeve:zero gravity"/>
        <s v="territory idle"/>
        <s v="war thunder"/>
        <s v="deus ex mankind divided "/>
        <s v="wolfenstein ii the new colossus"/>
        <s v="guntouchables"/>
        <s v="sniper elite 3"/>
        <s v="speed brawl"/>
        <s v="the bard's tale iv director's cut"/>
        <s v="bioshock 2 remastered"/>
        <s v="mega man x legacy collection"/>
        <s v="darksiders ii deathinitive edition"/>
        <s v="resident evil revelations"/>
        <s v="resident evil 0"/>
        <s v="resident evil revelations 2"/>
        <s v="satellite reign"/>
        <s v="okhlos omega"/>
        <s v="flinthook"/>
        <s v="initial drift online"/>
        <s v="final fantasy vii"/>
        <s v="despotism 3k"/>
        <s v="salt"/>
        <s v="rise of industry"/>
        <s v="quest of dungeons"/>
        <s v="ducati 90th anniversary"/>
        <s v="battlefield v"/>
        <s v="pac-man championship edition 2"/>
        <s v="fahrenheit indigo prophecy remastered"/>
        <s v="etherborn"/>
        <s v="stealth inc 2"/>
        <s v="this is the police"/>
        <s v="ronin"/>
        <s v="umiro"/>
        <s v="a mortician's tale"/>
        <s v="ark survival of the fittest"/>
        <s v="black desert"/>
        <s v="driver booster for steam"/>
        <s v="fallout tactics"/>
        <s v="half-life deathmatch source"/>
        <s v="sakura beach 2"/>
        <s v="the stillness of the wind"/>
        <s v="vrchat"/>
        <s v="risk of rain 2"/>
        <s v="bloons td 6"/>
        <s v="terraria"/>
        <s v="left 4 dead 2"/>
        <s v="dishonored"/>
        <s v="the witcher 3 wild hunt"/>
        <s v="fallout new vegas"/>
        <s v="left 4 dead"/>
        <s v="mini metro"/>
        <s v="deep rock galactic"/>
        <s v="half-life 2"/>
        <s v="hollow knight"/>
        <s v="crypt of the necrodancer"/>
        <s v="devil may cry 5"/>
        <s v="yakuza 0"/>
        <s v="doom"/>
        <s v="enter the gungeon"/>
        <s v="monster prom"/>
        <s v="ftl faster than light"/>
        <s v="oxygen not included"/>
        <s v="portal 2"/>
        <s v="hades"/>
        <s v="monster prom 2 monster camp"/>
        <s v="danganronpa 2 goodbye despair"/>
        <s v="the bard's tale trilogy"/>
        <s v="a hat in time"/>
        <s v="slay the spire"/>
        <s v="crawl"/>
        <s v="cuphead"/>
        <s v="danganronpa trigger happy havoc"/>
        <s v="psychonauts"/>
        <s v="hotline miami"/>
        <s v="celeste"/>
        <s v="my friend pedro"/>
        <s v="stonemachia"/>
        <s v="garry's mod"/>
        <s v="katana zero"/>
        <s v="spacechem"/>
        <s v="the jackbox party pack 2"/>
        <s v="vvvvvv"/>
        <s v="duck game"/>
        <s v="gris"/>
        <s v="wallpaper engine"/>
        <s v="exapunks"/>
        <s v="portal"/>
        <s v="pikuniku"/>
        <s v="helltaker"/>
        <s v="opus magnum"/>
        <s v="super hexagon"/>
        <s v="a good snowman is hard to build"/>
        <s v="5d chess with multiverse time travel"/>
        <s v="deus ex game of the year edition"/>
        <s v="doki doki literature club"/>
        <s v="don't starve"/>
        <s v="don't starve together"/>
        <s v="fallout"/>
        <s v="lethal company"/>
        <s v="tmodloader"/>
        <s v="undertale"/>
        <s v="rising dusk"/>
        <s v="paper fire rookie"/>
        <s v="banana hell mountain of madness"/>
        <s v="company of heroes 2"/>
        <s v="europa universalis iv"/>
        <s v="killing floor 2"/>
        <s v="hearts of iron iv"/>
        <s v="ai war 2"/>
        <s v="stellaris"/>
        <s v="alien swarm reactive drop"/>
        <s v="warframe"/>
        <s v="crusader kings iii"/>
        <s v="crusader kings ii"/>
        <s v="hitman 2"/>
        <s v="darkest dungeonÂ®"/>
        <s v="total war shogun 2"/>
        <s v="reventure"/>
        <s v="aimlabs"/>
        <s v="devil may cry hd collection"/>
        <s v="hand of fate 2"/>
        <s v="house flipper"/>
        <s v="magicka"/>
        <s v="xcom enemy unknown"/>
        <s v="bioshock infinite"/>
        <s v="borderlands 2"/>
        <s v="death road to canada"/>
        <s v="heat signature"/>
        <s v="into the breach"/>
        <s v="tropico 4"/>
        <s v="bioshock 2"/>
        <s v="bioshock remastered"/>
        <s v="assassin's creed iv black flag"/>
        <s v="batman arkham origins"/>
        <s v="deus ex human revolution director's cut"/>
        <s v="dragon's dogma dark arisen"/>
        <s v="paladins"/>
        <s v="besiege"/>
        <s v="the deed dynasty"/>
        <s v="pyre"/>
        <s v="dishonored 2"/>
        <s v="mega man 11"/>
        <s v="ace combat 7 skies unknown"/>
        <s v="metro 2033 redux"/>
        <s v="metro last light redux"/>
        <s v="content warning"/>
        <s v="the messenger"/>
        <s v="tom clancy's rainbow six siege"/>
        <s v="nier:automata "/>
        <s v="broken age"/>
        <s v="age of empires definitive edition"/>
        <s v="hiveswap act 1"/>
        <s v="resident evil"/>
        <s v="dark souls iii"/>
        <s v="darksiders"/>
        <s v="darksiders warmastered edition"/>
        <s v="death's gambit afterlife"/>
        <s v="devil may cry 4 special edition"/>
        <s v="elden ring"/>
        <s v="metal gear solid v the phantom pain"/>
        <s v="rebuild 3 gangs of deadsville"/>
        <s v="danganronpa v3 killing harmony"/>
        <s v="dark souls remastered"/>
        <s v="dark souls ii scholar of the first sin"/>
        <s v="elden ring nightreign"/>
        <s v="omnibus"/>
        <s v="stories the path of destinies"/>
        <s v="the escapists"/>
        <s v="final fantasy vii (2013)"/>
        <s v="manual samuel last tuesday edition"/>
        <s v="way of the passive fist"/>
        <s v="20 minutes till dawn"/>
        <s v="sekiro shadows die twice"/>
        <s v="worms revolution"/>
        <s v="among us"/>
        <s v="furi"/>
        <s v="mother russia bleeds"/>
        <s v="super time force ultra"/>
        <s v="ark survival evolved"/>
        <s v="planet coaster"/>
        <s v="dropsy"/>
        <s v="jet set radio"/>
        <s v="splitgate"/>
        <s v="strider"/>
        <s v="assault android cactus"/>
        <s v="hotline miami 2 wrong number"/>
        <s v="stick fight the game"/>
        <s v="olliolli2 welcome to olliwood"/>
        <s v="party hard"/>
        <s v="autonauts"/>
        <s v="superhot"/>
        <s v="warhammer vermintide 2"/>
        <s v="death squared"/>
        <s v="mega man legacy collection"/>
        <s v="void bastards"/>
        <s v="ape out"/>
        <s v="invisible inc."/>
        <s v="little nightmares"/>
        <s v="little nightmares enhanced edition"/>
        <s v="poly bridge"/>
        <s v="gnog"/>
        <s v="manyland"/>
        <s v="regular human basketball"/>
        <s v="shovel knight specter of torment"/>
        <s v="the red strings club"/>
        <s v="wizard of legend"/>
        <s v="dig or die"/>
        <s v="framed collection"/>
        <s v="heavy bullets"/>
        <s v="not a hero"/>
        <s v="the gardens between"/>
        <s v="tower of guns"/>
        <s v="metal gear solid v ground zeroes"/>
        <s v="darkwood"/>
        <s v="198x"/>
        <s v="garfield kart furious racing"/>
        <s v="mr shifty"/>
        <s v="superhot mind control delete"/>
        <s v="brothers a tale of two sons"/>
        <s v="fez"/>
        <s v="gato roboto"/>
        <s v="machinarium"/>
        <s v="olliolli"/>
        <s v="hacknet"/>
        <s v="lostwinds"/>
        <s v="quiplash"/>
        <s v="world of goo"/>
        <s v="zombotron"/>
        <s v="dr langeskov the tiger and the terribly cursed emerald a whirlwind heist"/>
        <s v="frog detective 1 the haunted island"/>
        <s v="molek-syntez"/>
        <s v="the witness"/>
        <s v="feather"/>
        <s v="bioshock"/>
        <s v="bloons td battles 2"/>
        <s v="capitalism 2"/>
        <s v="europa universalis iii"/>
        <s v="fallout 2"/>
        <s v="half-life 2 deathmatch"/>
        <s v="long live santa!"/>
        <s v="rpg maker xp"/>
        <s v="sakura fantasy chapter 1"/>
        <s v="slay the spire 2"/>
        <s v="sven co-op"/>
        <s v="tilt brush"/>
        <s v="ultimate custom night"/>
        <s v="victoria ii"/>
        <s v="undercroft warriors"/>
      </sharedItems>
    </cacheField>
    <cacheField name="Steam_id" numFmtId="0">
      <sharedItems containsSemiMixedTypes="0" containsString="0" containsNumber="1" containsInteger="1" minValue="220" maxValue="3837340"/>
    </cacheField>
    <cacheField name="has_achievements" numFmtId="0">
      <sharedItems/>
    </cacheField>
    <cacheField name="completed_achievements" numFmtId="0">
      <sharedItems containsString="0" containsBlank="1" containsNumber="1" containsInteger="1" minValue="0" maxValue="189"/>
    </cacheField>
    <cacheField name="total_achievements" numFmtId="0">
      <sharedItems containsString="0" containsBlank="1" containsNumber="1" containsInteger="1" minValue="1" maxValue="1113" count="94">
        <n v="1113"/>
        <n v="104"/>
        <n v="100"/>
        <n v="51"/>
        <n v="49"/>
        <n v="37"/>
        <n v="35"/>
        <n v="27"/>
        <n v="25"/>
        <n v="17"/>
        <n v="15"/>
        <n v="13"/>
        <n v="12"/>
        <n v="11"/>
        <m/>
        <n v="28"/>
        <n v="91"/>
        <n v="81"/>
        <n v="80"/>
        <n v="79"/>
        <n v="77"/>
        <n v="59"/>
        <n v="53"/>
        <n v="52"/>
        <n v="50"/>
        <n v="47"/>
        <n v="43"/>
        <n v="40"/>
        <n v="38"/>
        <n v="36"/>
        <n v="31"/>
        <n v="30"/>
        <n v="29"/>
        <n v="22"/>
        <n v="21"/>
        <n v="18"/>
        <n v="10"/>
        <n v="8"/>
        <n v="3"/>
        <n v="171"/>
        <n v="156"/>
        <n v="137"/>
        <n v="101"/>
        <n v="78"/>
        <n v="75"/>
        <n v="73"/>
        <n v="69"/>
        <n v="63"/>
        <n v="61"/>
        <n v="55"/>
        <n v="54"/>
        <n v="46"/>
        <n v="45"/>
        <n v="42"/>
        <n v="32"/>
        <n v="20"/>
        <n v="19"/>
        <n v="16"/>
        <n v="14"/>
        <n v="6"/>
        <n v="5"/>
        <n v="452"/>
        <n v="373"/>
        <n v="307"/>
        <n v="293"/>
        <n v="255"/>
        <n v="219"/>
        <n v="198"/>
        <n v="193"/>
        <n v="188"/>
        <n v="161"/>
        <n v="146"/>
        <n v="120"/>
        <n v="106"/>
        <n v="99"/>
        <n v="96"/>
        <n v="88"/>
        <n v="85"/>
        <n v="72"/>
        <n v="70"/>
        <n v="68"/>
        <n v="65"/>
        <n v="60"/>
        <n v="58"/>
        <n v="48"/>
        <n v="44"/>
        <n v="41"/>
        <n v="34"/>
        <n v="33"/>
        <n v="26"/>
        <n v="24"/>
        <n v="23"/>
        <n v="2"/>
        <n v="1"/>
      </sharedItems>
    </cacheField>
    <cacheField name="English_rating" numFmtId="0">
      <sharedItems containsBlank="1" count="8">
        <s v="Mixed"/>
        <s v="Mostly Negative"/>
        <s v="Mostly Positive"/>
        <s v="Overwhelmingly Positive"/>
        <s v="Positive"/>
        <s v="Very Positive"/>
        <m/>
        <s v="8 user reviews" u="1"/>
      </sharedItems>
    </cacheField>
    <cacheField name="Date_published" numFmtId="0">
      <sharedItems containsNonDate="0" containsDate="1" containsString="0" containsBlank="1" minDate="1970-07-04T00:00:00" maxDate="2026-05-27T00:00:00"/>
    </cacheField>
    <cacheField name="Total_number_of_reviews" numFmtId="0">
      <sharedItems containsSemiMixedTypes="0" containsString="0" containsNumber="1" containsInteger="1" minValue="8" maxValue="1530738" count="267">
        <n v="41"/>
        <n v="4725"/>
        <n v="25"/>
        <n v="58"/>
        <n v="3256"/>
        <n v="17285"/>
        <n v="2228"/>
        <n v="49"/>
        <n v="104"/>
        <n v="2276"/>
        <n v="501"/>
        <n v="137"/>
        <n v="5297"/>
        <n v="5270"/>
        <n v="2178"/>
        <n v="273"/>
        <n v="378"/>
        <n v="2592"/>
        <n v="86"/>
        <n v="3741"/>
        <n v="28"/>
        <n v="1709"/>
        <n v="767095"/>
        <n v="30524"/>
        <n v="34659"/>
        <n v="327"/>
        <n v="21302"/>
        <n v="81"/>
        <n v="690"/>
        <n v="23838"/>
        <n v="3955"/>
        <n v="16047"/>
        <n v="11407"/>
        <n v="13962"/>
        <n v="25146"/>
        <n v="2598"/>
        <n v="631"/>
        <n v="597"/>
        <n v="3208"/>
        <n v="1171"/>
        <n v="1017"/>
        <n v="1954"/>
        <n v="3114"/>
        <n v="478"/>
        <n v="207"/>
        <n v="234797"/>
        <n v="564"/>
        <n v="6473"/>
        <n v="100"/>
        <n v="122"/>
        <n v="9083"/>
        <n v="1599"/>
        <n v="165"/>
        <n v="762"/>
        <n v="4618"/>
        <n v="62477"/>
        <n v="10571"/>
        <n v="2321"/>
        <n v="4313"/>
        <n v="252"/>
        <n v="1351"/>
        <n v="265324"/>
        <n v="238141"/>
        <n v="345728"/>
        <n v="1224771"/>
        <n v="804948"/>
        <n v="66262"/>
        <n v="812992"/>
        <n v="209520"/>
        <n v="57523"/>
        <n v="12672"/>
        <n v="301480"/>
        <n v="200189"/>
        <n v="493335"/>
        <n v="23487"/>
        <n v="116538"/>
        <n v="77659"/>
        <n v="153518"/>
        <n v="78941"/>
        <n v="12219"/>
        <n v="62307"/>
        <n v="134010"/>
        <n v="387087"/>
        <n v="283171"/>
        <n v="4979"/>
        <n v="30216"/>
        <n v="1207"/>
        <n v="42701"/>
        <n v="189528"/>
        <n v="5596"/>
        <n v="194013"/>
        <n v="35326"/>
        <n v="12128"/>
        <n v="107310"/>
        <n v="128887"/>
        <n v="24439"/>
        <n v="1004"/>
        <n v="1078531"/>
        <n v="65840"/>
        <n v="2617"/>
        <n v="1437"/>
        <n v="6615"/>
        <n v="25234"/>
        <n v="83124"/>
        <n v="930041"/>
        <n v="1363"/>
        <n v="171312"/>
        <n v="9841"/>
        <n v="127701"/>
        <n v="5803"/>
        <n v="18307"/>
        <n v="671"/>
        <n v="8034"/>
        <n v="13599"/>
        <n v="223734"/>
        <n v="96641"/>
        <n v="372459"/>
        <n v="16461"/>
        <n v="410566"/>
        <n v="374109"/>
        <n v="296669"/>
        <n v="44"/>
        <n v="30"/>
        <n v="20"/>
        <n v="68609"/>
        <n v="93721"/>
        <n v="86877"/>
        <n v="270895"/>
        <n v="1121"/>
        <n v="138751"/>
        <n v="23662"/>
        <n v="669776"/>
        <n v="92964"/>
        <n v="73762"/>
        <n v="74857"/>
        <n v="139014"/>
        <n v="37304"/>
        <n v="8427"/>
        <n v="136034"/>
        <n v="18353"/>
        <n v="5253"/>
        <n v="91975"/>
        <n v="19103"/>
        <n v="40115"/>
        <n v="109102"/>
        <n v="209910"/>
        <n v="8940"/>
        <n v="6826"/>
        <n v="18736"/>
        <n v="8187"/>
        <n v="11402"/>
        <n v="51664"/>
        <n v="71704"/>
        <n v="44821"/>
        <n v="25166"/>
        <n v="37198"/>
        <n v="345423"/>
        <n v="47742"/>
        <n v="529"/>
        <n v="8370"/>
        <n v="42433"/>
        <n v="4183"/>
        <n v="45498"/>
        <n v="92703"/>
        <n v="69749"/>
        <n v="70356"/>
        <n v="10549"/>
        <n v="1530738"/>
        <n v="113940"/>
        <n v="4598"/>
        <n v="14178"/>
        <n v="3110"/>
        <n v="26634"/>
        <n v="276767"/>
        <n v="8511"/>
        <n v="13664"/>
        <n v="4235"/>
        <n v="16448"/>
        <n v="823410"/>
        <n v="72293"/>
        <n v="1479"/>
        <n v="21485"/>
        <n v="98706"/>
        <n v="82807"/>
        <n v="127379"/>
        <n v="485"/>
        <n v="1932"/>
        <n v="14280"/>
        <n v="30294"/>
        <n v="1512"/>
        <n v="182"/>
        <n v="27666"/>
        <n v="256300"/>
        <n v="5638"/>
        <n v="649995"/>
        <n v="11150"/>
        <n v="4326"/>
        <n v="678"/>
        <n v="581974"/>
        <n v="59280"/>
        <n v="1614"/>
        <n v="8291"/>
        <n v="110655"/>
        <n v="2157"/>
        <n v="1319"/>
        <n v="68357"/>
        <n v="99724"/>
        <n v="432"/>
        <n v="9659"/>
        <n v="3578"/>
        <n v="27612"/>
        <n v="90603"/>
        <n v="466"/>
        <n v="3758"/>
        <n v="3877"/>
        <n v="3680"/>
        <n v="5062"/>
        <n v="51902"/>
        <n v="2619"/>
        <n v="16791"/>
        <n v="419"/>
        <n v="331"/>
        <n v="221"/>
        <n v="450"/>
        <n v="12626"/>
        <n v="17271"/>
        <n v="3852"/>
        <n v="2291"/>
        <n v="1259"/>
        <n v="1630"/>
        <n v="2348"/>
        <n v="524"/>
        <n v="13319"/>
        <n v="21828"/>
        <n v="600"/>
        <n v="10445"/>
        <n v="852"/>
        <n v="9193"/>
        <n v="33738"/>
        <n v="11589"/>
        <n v="4305"/>
        <n v="17092"/>
        <n v="420"/>
        <n v="16749"/>
        <n v="563"/>
        <n v="992"/>
        <n v="4801"/>
        <n v="2930"/>
        <n v="10141"/>
        <n v="3001"/>
        <n v="517"/>
        <n v="16922"/>
        <n v="492"/>
        <n v="25029"/>
        <n v="33949"/>
        <n v="442"/>
        <n v="1369"/>
        <n v="13699"/>
        <n v="10171"/>
        <n v="3107"/>
        <n v="705"/>
        <n v="172980"/>
        <n v="32361"/>
        <n v="1206"/>
        <n v="62474"/>
        <n v="16447"/>
        <n v="8"/>
      </sharedItems>
    </cacheField>
    <cacheField name="Publisher" numFmtId="0">
      <sharedItems/>
    </cacheField>
    <cacheField name="keys" numFmtId="0">
      <sharedItems containsString="0" containsBlank="1" containsNumber="1" containsInteger="1" minValue="0" maxValue="244"/>
    </cacheField>
    <cacheField name="count_main" numFmtId="0">
      <sharedItems containsString="0" containsBlank="1" containsNumber="1" containsInteger="1" minValue="1" maxValue="8100"/>
    </cacheField>
    <cacheField name="time_main" numFmtId="0">
      <sharedItems containsString="0" containsBlank="1" containsNumber="1" containsInteger="1" minValue="24" maxValue="6577" count="197">
        <m/>
        <n v="600"/>
        <n v="24"/>
        <n v="993"/>
        <n v="685"/>
        <n v="394"/>
        <n v="995"/>
        <n v="430"/>
        <n v="612"/>
        <n v="187"/>
        <n v="1253"/>
        <n v="215"/>
        <n v="544"/>
        <n v="209"/>
        <n v="1954"/>
        <n v="579"/>
        <n v="41"/>
        <n v="258"/>
        <n v="660"/>
        <n v="181"/>
        <n v="452"/>
        <n v="2618"/>
        <n v="642"/>
        <n v="1185"/>
        <n v="509"/>
        <n v="629"/>
        <n v="1293"/>
        <n v="287"/>
        <n v="1102"/>
        <n v="2206"/>
        <n v="217"/>
        <n v="1203"/>
        <n v="149"/>
        <n v="633"/>
        <n v="390"/>
        <n v="138"/>
        <n v="1192"/>
        <n v="359"/>
        <n v="57"/>
        <n v="5533"/>
        <n v="1638"/>
        <n v="135"/>
        <n v="194"/>
        <n v="691"/>
        <n v="2270"/>
        <n v="3209"/>
        <n v="631"/>
        <n v="737"/>
        <n v="3195"/>
        <n v="1643"/>
        <n v="414"/>
        <n v="368"/>
        <n v="2947"/>
        <n v="784"/>
        <n v="1693"/>
        <n v="851"/>
        <n v="677"/>
        <n v="1927"/>
        <n v="708"/>
        <n v="1444"/>
        <n v="67"/>
        <n v="775"/>
        <n v="6577"/>
        <n v="530"/>
        <n v="1472"/>
        <n v="82"/>
        <n v="2055"/>
        <n v="1733"/>
        <n v="590"/>
        <n v="797"/>
        <n v="85"/>
        <n v="656"/>
        <n v="1526"/>
        <n v="721"/>
        <n v="328"/>
        <n v="517"/>
        <n v="250"/>
        <n v="607"/>
        <n v="3657"/>
        <n v="289"/>
        <n v="2552"/>
        <n v="242"/>
        <n v="216"/>
        <n v="1529"/>
        <n v="193"/>
        <n v="947"/>
        <n v="361"/>
        <n v="134"/>
        <n v="90"/>
        <n v="1718"/>
        <n v="984"/>
        <n v="617"/>
        <n v="432"/>
        <n v="967"/>
        <n v="6560"/>
        <n v="1054"/>
        <n v="3215"/>
        <n v="1285"/>
        <n v="2100"/>
        <n v="4507"/>
        <n v="620"/>
        <n v="1798"/>
        <n v="396"/>
        <n v="1409"/>
        <n v="1364"/>
        <n v="807"/>
        <n v="648"/>
        <n v="1642"/>
        <n v="704"/>
        <n v="1811"/>
        <n v="393"/>
        <n v="872"/>
        <n v="370"/>
        <n v="2458"/>
        <n v="733"/>
        <n v="1430"/>
        <n v="769"/>
        <n v="1413"/>
        <n v="1993"/>
        <n v="369"/>
        <n v="310"/>
        <n v="682"/>
        <n v="777"/>
        <n v="296"/>
        <n v="748"/>
        <n v="546"/>
        <n v="593"/>
        <n v="725"/>
        <n v="218"/>
        <n v="1935"/>
        <n v="152"/>
        <n v="1925"/>
        <n v="1028"/>
        <n v="857"/>
        <n v="665"/>
        <n v="3606"/>
        <n v="2783"/>
        <n v="1855"/>
        <n v="2383"/>
        <n v="1722"/>
        <n v="2163"/>
        <n v="1786"/>
        <n v="324"/>
        <n v="1131"/>
        <n v="244"/>
        <n v="256"/>
        <n v="1831"/>
        <n v="1168"/>
        <n v="336"/>
        <n v="264"/>
        <n v="272"/>
        <n v="4622"/>
        <n v="1685"/>
        <n v="271"/>
        <n v="409"/>
        <n v="213"/>
        <n v="207"/>
        <n v="386"/>
        <n v="6002"/>
        <n v="150"/>
        <n v="694"/>
        <n v="1030"/>
        <n v="528"/>
        <n v="449"/>
        <n v="657"/>
        <n v="114"/>
        <n v="275"/>
        <n v="240"/>
        <n v="556"/>
        <n v="831"/>
        <n v="174"/>
        <n v="440"/>
        <n v="309"/>
        <n v="162"/>
        <n v="117"/>
        <n v="1132"/>
        <n v="97"/>
        <n v="132"/>
        <n v="246"/>
        <n v="444"/>
        <n v="189"/>
        <n v="355"/>
        <n v="313"/>
        <n v="232"/>
        <n v="443"/>
        <n v="141"/>
        <n v="45"/>
        <n v="696"/>
        <n v="1026"/>
        <n v="30"/>
        <n v="3200"/>
        <n v="4794"/>
        <n v="1847"/>
        <n v="553"/>
        <n v="197"/>
        <n v="669"/>
        <n v="1605"/>
      </sharedItems>
    </cacheField>
    <cacheField name="count_complete" numFmtId="0">
      <sharedItems containsString="0" containsBlank="1" containsNumber="1" containsInteger="1" minValue="1" maxValue="3900"/>
    </cacheField>
    <cacheField name="time_complete" numFmtId="0">
      <sharedItems containsString="0" containsBlank="1" containsNumber="1" containsInteger="1" minValue="41" maxValue="138517"/>
    </cacheField>
    <cacheField name="Corregated_dates" numFmtId="0">
      <sharedItems count="74">
        <s v="Q1 2018"/>
        <s v="Q1 2017"/>
        <s v="Q4 2017"/>
        <s v="Q3 2017"/>
        <s v="Q1 2014"/>
        <s v="Q3 2014"/>
        <s v="Q1 2013"/>
        <s v="Q2 2018"/>
        <s v="Q3 2015"/>
        <s v="Q3 2018"/>
        <s v="Q1 2020"/>
        <s v="Q1 2004"/>
        <s v="Q3 2011"/>
        <s v="Q1 2009"/>
        <s v="Q4 2024"/>
        <s v="Q3 1970"/>
        <s v="Q3 2019"/>
        <s v="Q3 2013"/>
        <s v="Q3 2016"/>
        <s v="Q3 2025"/>
        <s v="Q2 2014"/>
        <s v="Q4 2015"/>
        <s v="Q2 2013"/>
        <s v="Q1 2016"/>
        <s v="Q1 2015"/>
        <s v="Q2 2017"/>
        <s v="Q1 2023"/>
        <s v="Q4 2018"/>
        <s v="Q2 2019"/>
        <s v="Q2 2016"/>
        <s v="Q2 2015"/>
        <s v="Q1 2001"/>
        <s v="Q2 2006"/>
        <s v="Q1 2019"/>
        <s v="Q3 2020"/>
        <s v="Q2 2011"/>
        <s v="Q4 2009"/>
        <s v="Q4 2012"/>
        <s v="Q4 2010"/>
        <s v="Q4 2008"/>
        <s v="Q2 2020"/>
        <s v="Q4 2004"/>
        <s v="Q3 2012"/>
        <s v="Q4 2020"/>
        <s v="Q2 2005"/>
        <s v="Q2 2026"/>
        <s v="Q4 2006"/>
        <s v="Q1 2011"/>
        <s v="Q3 2010"/>
        <s v="Q4 2007"/>
        <s v="Q2 2000"/>
        <s v="Q3 1997"/>
        <s v="Q4 2023"/>
        <s v="Q2 2024"/>
        <s v="Q4 2016"/>
        <s v="Q4 2019"/>
        <s v="Q1 2012"/>
        <s v="Q1 1900"/>
        <s v="Q2 2023"/>
        <s v="Q1 2010"/>
        <s v="Q4 2013"/>
        <s v="Q1 2022"/>
        <s v="Q2 2025"/>
        <s v="Q4 2025"/>
        <s v="Q4 2014"/>
        <s v="Q3 2007"/>
        <s v="Q4 2021"/>
        <s v="Q4 2001"/>
        <s v="Q1 2007"/>
        <s v="Q4 1998"/>
        <s v="Q3 2005"/>
        <s v="Q1 2026"/>
        <s v="Q1 1999"/>
        <s v="Q3 2024"/>
      </sharedItems>
    </cacheField>
    <cacheField name="Stand_in_date" numFmtId="14">
      <sharedItems containsSemiMixedTypes="0" containsNonDate="0" containsDate="1" containsString="0" minDate="1899-12-31T00:00:00" maxDate="2026-04-02T00:00:00" count="74">
        <d v="2018-01-01T00:00:00"/>
        <d v="2017-01-01T00:00:00"/>
        <d v="2017-10-01T00:00:00"/>
        <d v="2017-07-01T00:00:00"/>
        <d v="2014-01-01T00:00:00"/>
        <d v="2014-07-01T00:00:00"/>
        <d v="2013-01-01T00:00:00"/>
        <d v="2018-04-01T00:00:00"/>
        <d v="2015-07-01T00:00:00"/>
        <d v="2018-07-01T00:00:00"/>
        <d v="2020-01-01T00:00:00"/>
        <d v="2004-01-01T00:00:00"/>
        <d v="2011-07-01T00:00:00"/>
        <d v="2009-01-01T00:00:00"/>
        <d v="2024-10-01T00:00:00"/>
        <d v="1970-07-01T00:00:00"/>
        <d v="2019-07-01T00:00:00"/>
        <d v="2013-07-01T00:00:00"/>
        <d v="2016-07-01T00:00:00"/>
        <d v="2025-07-01T00:00:00"/>
        <d v="2014-04-01T00:00:00"/>
        <d v="2015-10-01T00:00:00"/>
        <d v="2013-04-01T00:00:00"/>
        <d v="2016-01-01T00:00:00"/>
        <d v="2015-01-01T00:00:00"/>
        <d v="2017-04-01T00:00:00"/>
        <d v="2023-01-01T00:00:00"/>
        <d v="2018-10-01T00:00:00"/>
        <d v="2019-04-01T00:00:00"/>
        <d v="2016-04-01T00:00:00"/>
        <d v="2015-04-01T00:00:00"/>
        <d v="2001-01-01T00:00:00"/>
        <d v="2006-04-01T00:00:00"/>
        <d v="2019-01-01T00:00:00"/>
        <d v="2020-07-01T00:00:00"/>
        <d v="2011-04-01T00:00:00"/>
        <d v="2009-10-01T00:00:00"/>
        <d v="2012-10-01T00:00:00"/>
        <d v="2010-10-01T00:00:00"/>
        <d v="2008-10-01T00:00:00"/>
        <d v="2020-04-01T00:00:00"/>
        <d v="2004-10-01T00:00:00"/>
        <d v="2012-07-01T00:00:00"/>
        <d v="2020-10-01T00:00:00"/>
        <d v="2005-04-01T00:00:00"/>
        <d v="2026-04-01T00:00:00"/>
        <d v="2006-10-01T00:00:00"/>
        <d v="2011-01-01T00:00:00"/>
        <d v="2010-07-01T00:00:00"/>
        <d v="2007-10-01T00:00:00"/>
        <d v="2000-04-01T00:00:00"/>
        <d v="1997-07-01T00:00:00"/>
        <d v="2023-10-01T00:00:00"/>
        <d v="2024-04-01T00:00:00"/>
        <d v="2016-10-01T00:00:00"/>
        <d v="2019-10-01T00:00:00"/>
        <d v="2012-01-01T00:00:00"/>
        <d v="1899-12-31T00:00:00"/>
        <d v="2023-04-01T00:00:00"/>
        <d v="2010-01-01T00:00:00"/>
        <d v="2013-10-01T00:00:00"/>
        <d v="2022-01-01T00:00:00"/>
        <d v="2025-04-01T00:00:00"/>
        <d v="2025-10-01T00:00:00"/>
        <d v="2014-10-01T00:00:00"/>
        <d v="2007-07-01T00:00:00"/>
        <d v="2021-10-01T00:00:00"/>
        <d v="2001-10-01T00:00:00"/>
        <d v="2007-01-01T00:00:00"/>
        <d v="1998-10-01T00:00:00"/>
        <d v="2005-07-01T00:00:00"/>
        <d v="2026-01-01T00:00:00"/>
        <d v="1999-01-01T00:00:00"/>
        <d v="2024-07-01T00:00:00"/>
      </sharedItems>
    </cacheField>
    <cacheField name="Genres" numFmtId="0">
      <sharedItems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9">
  <r>
    <x v="0"/>
    <n v="796640"/>
    <s v="Y"/>
    <n v="0"/>
    <x v="0"/>
    <x v="0"/>
    <d v="2018-02-21T00:00:00"/>
    <x v="0"/>
    <s v="EasyGames"/>
    <n v="150"/>
    <m/>
    <x v="0"/>
    <n v="3"/>
    <n v="64"/>
    <x v="0"/>
    <x v="0"/>
    <s v="['Adventure', 'Indie', 'Casual']"/>
  </r>
  <r>
    <x v="1"/>
    <n v="543460"/>
    <s v="Y"/>
    <n v="0"/>
    <x v="1"/>
    <x v="0"/>
    <d v="2017-03-14T00:00:00"/>
    <x v="1"/>
    <s v="Capcom"/>
    <n v="53"/>
    <n v="135"/>
    <x v="1"/>
    <n v="11"/>
    <n v="2552"/>
    <x v="1"/>
    <x v="1"/>
    <s v="['Zombies', 'Open World', 'Action', 'Multiplayer', 'Co-op', 'Violent', 'Gore', 'Survival', 'Comedy', 'Horror', 'Third Person', 'Funny', 'Nudity', 'Heist', 'Online Co-Op', 'Singleplayer', 'Survival Horror', 'Memes', 'Sandbox', 'Casual']"/>
  </r>
  <r>
    <x v="2"/>
    <n v="711070"/>
    <s v="Y"/>
    <n v="5"/>
    <x v="2"/>
    <x v="0"/>
    <d v="2017-10-01T00:00:00"/>
    <x v="2"/>
    <s v="azimuth team"/>
    <n v="125"/>
    <n v="1"/>
    <x v="2"/>
    <n v="4"/>
    <n v="68"/>
    <x v="2"/>
    <x v="2"/>
    <s v="['Casual', 'Indie']"/>
  </r>
  <r>
    <x v="3"/>
    <n v="711320"/>
    <s v="Y"/>
    <n v="0"/>
    <x v="3"/>
    <x v="0"/>
    <d v="2017-09-21T00:00:00"/>
    <x v="3"/>
    <s v="Conglomerate 5"/>
    <m/>
    <m/>
    <x v="0"/>
    <m/>
    <m/>
    <x v="3"/>
    <x v="3"/>
    <s v="['Casual', 'Indie', 'Action', 'Adventure', 'Simulation', 'Pirates', '2D', 'Old School', 'Retro', 'Top-Down Shooter', 'Top-Down', 'Shooter']"/>
  </r>
  <r>
    <x v="4"/>
    <n v="304530"/>
    <s v="Y"/>
    <n v="0"/>
    <x v="4"/>
    <x v="0"/>
    <d v="2017-08-15T00:00:00"/>
    <x v="4"/>
    <s v="Deep Silver"/>
    <n v="10"/>
    <n v="79"/>
    <x v="3"/>
    <n v="34"/>
    <n v="2947"/>
    <x v="3"/>
    <x v="3"/>
    <s v="['Action', 'Open World', 'Third Person', 'Singleplayer', 'Comedy', 'Funny', 'Third-Person Shooter', 'Shooter', 'Sexual Content', 'Adventure', 'Superhero', 'Female Protagonist', 'Violent', 'Sci-fi', 'Memes', 'Sandbox', 'Cyberpunk', 'Atmospheric', 'Multiplayer', 'Controller']"/>
  </r>
  <r>
    <x v="5"/>
    <n v="239160"/>
    <s v="Y"/>
    <n v="0"/>
    <x v="5"/>
    <x v="0"/>
    <d v="2014-02-27T00:00:00"/>
    <x v="5"/>
    <s v="Eidos Interactive Corp."/>
    <n v="222"/>
    <n v="390"/>
    <x v="4"/>
    <n v="78"/>
    <n v="2817"/>
    <x v="4"/>
    <x v="4"/>
    <s v="['Stealth', 'Action', 'First-Person', 'Adventure', 'Singleplayer', 'Dark', 'Reboot', 'Steampunk', 'Atmospheric', 'Horror', 'Parkour', 'Assassins', 'Open World', 'Heist', 'Medieval', 'Nudity', 'RPG', 'Fantasy', 'FPS', 'Remake']"/>
  </r>
  <r>
    <x v="6"/>
    <n v="274290"/>
    <s v="Y"/>
    <n v="0"/>
    <x v="6"/>
    <x v="0"/>
    <d v="2014-07-24T00:00:00"/>
    <x v="6"/>
    <s v="Devolver Digital"/>
    <n v="101"/>
    <n v="42"/>
    <x v="5"/>
    <n v="7"/>
    <n v="1131"/>
    <x v="5"/>
    <x v="5"/>
    <s v="['Indie', 'Pixel Graphics', 'Point &amp; Click', 'Sci-fi', 'Story Rich', 'Adventure', 'Difficult', 'Dark', 'Choices Matter', 'Singleplayer', 'Thriller', 'Puzzle', 'Atmospheric', 'Strategy', 'Survival', 'Resource Management', '2D', 'Great Soundtrack', 'Gore', 'Horror']"/>
  </r>
  <r>
    <x v="7"/>
    <n v="682910"/>
    <s v="Y"/>
    <n v="0"/>
    <x v="7"/>
    <x v="0"/>
    <d v="2017-08-07T00:00:00"/>
    <x v="7"/>
    <s v="EasyGames"/>
    <n v="153"/>
    <m/>
    <x v="0"/>
    <m/>
    <m/>
    <x v="3"/>
    <x v="3"/>
    <s v="['Action', 'Pixel Graphics', 'Indie']"/>
  </r>
  <r>
    <x v="8"/>
    <n v="573600"/>
    <s v="Y"/>
    <n v="0"/>
    <x v="7"/>
    <x v="0"/>
    <d v="2017-10-19T00:00:00"/>
    <x v="8"/>
    <s v="Surprise Attack"/>
    <m/>
    <m/>
    <x v="0"/>
    <m/>
    <m/>
    <x v="2"/>
    <x v="2"/>
    <s v="['Action', '4 Player Local', 'Co-op', 'Local Co-Op', 'Multiplayer', 'Local Multiplayer', 'Funny', 'Indie', 'Adventure', 'Fast-Paced', 'Difficult']"/>
  </r>
  <r>
    <x v="9"/>
    <n v="207000"/>
    <s v="Y"/>
    <n v="0"/>
    <x v="8"/>
    <x v="0"/>
    <d v="2013-03-20T00:00:00"/>
    <x v="0"/>
    <s v="Kasedo Games"/>
    <n v="12"/>
    <n v="1"/>
    <x v="6"/>
    <m/>
    <m/>
    <x v="6"/>
    <x v="6"/>
    <s v="['Indie', 'Action', 'Adventure', 'Platformer', 'Singleplayer']"/>
  </r>
  <r>
    <x v="10"/>
    <n v="586200"/>
    <s v="Y"/>
    <n v="0"/>
    <x v="9"/>
    <x v="0"/>
    <d v="2018-05-29T00:00:00"/>
    <x v="9"/>
    <s v="Capcom U.S.A, Inc."/>
    <n v="202"/>
    <n v="18"/>
    <x v="7"/>
    <n v="7"/>
    <n v="1558"/>
    <x v="7"/>
    <x v="7"/>
    <s v="['Fighting', '2D Fighter', 'Action', 'Arcade', 'Classic', 'Multiplayer', 'Retro', '2D', 'Local Multiplayer', 'Anime', 'Singleplayer', 'Pixel Graphics', 'Nudity', &quot;1990's&quot;, '1980s', 'Horror']"/>
  </r>
  <r>
    <x v="11"/>
    <n v="369110"/>
    <s v="Y"/>
    <n v="0"/>
    <x v="10"/>
    <x v="0"/>
    <d v="2015-07-28T00:00:00"/>
    <x v="10"/>
    <s v="Size Five Games"/>
    <n v="219"/>
    <n v="9"/>
    <x v="8"/>
    <m/>
    <m/>
    <x v="8"/>
    <x v="8"/>
    <s v="['Crime', 'Indie', 'Action', 'Stealth', 'Heist', 'Steampunk', 'RPG', 'Platformer', 'Action Roguelike', '2D', 'Roguelike', 'Procedural Generation', 'Roguelite', 'Great Soundtrack', 'Cyberpunk']"/>
  </r>
  <r>
    <x v="12"/>
    <n v="229810"/>
    <s v="Y"/>
    <n v="0"/>
    <x v="11"/>
    <x v="0"/>
    <d v="2015-09-23T00:00:00"/>
    <x v="11"/>
    <s v="Devolver Digital"/>
    <n v="3"/>
    <n v="4"/>
    <x v="9"/>
    <n v="2"/>
    <n v="362"/>
    <x v="8"/>
    <x v="8"/>
    <s v="['Action', 'Indie', 'Western', 'Pixel Graphics', 'Bullet Hell', 'Local Co-Op', 'Co-op', 'Top-Down Shooter', 'Arena Shooter', 'Twin Stick Shooter', '2D', 'Multiplayer', 'Local Multiplayer', 'Top-Down', 'Difficult']"/>
  </r>
  <r>
    <x v="13"/>
    <n v="785740"/>
    <s v="Y"/>
    <n v="0"/>
    <x v="12"/>
    <x v="0"/>
    <d v="2018-07-31T00:00:00"/>
    <x v="12"/>
    <s v="THQ Nordic"/>
    <n v="225"/>
    <n v="20"/>
    <x v="10"/>
    <n v="17"/>
    <n v="1849"/>
    <x v="9"/>
    <x v="9"/>
    <s v="['Strategy', 'Story Rich', 'Singleplayer', 'Turn-Based', 'Management', 'Indie', 'Adventure', 'Villain Protagonist', 'Crime', 'Choices Matter', 'Atmospheric', 'Simulation', 'Great Soundtrack', 'Turn-Based Strategy', 'Turn-Based Tactics', 'Detective', 'Noir', 'Tactical', 'Turn-Based Combat']"/>
  </r>
  <r>
    <x v="14"/>
    <n v="1057750"/>
    <s v="Y"/>
    <n v="0"/>
    <x v="13"/>
    <x v="0"/>
    <d v="2020-02-19T00:00:00"/>
    <x v="13"/>
    <s v="Daedalic Entertainment"/>
    <n v="218"/>
    <n v="163"/>
    <x v="11"/>
    <n v="155"/>
    <n v="265"/>
    <x v="10"/>
    <x v="10"/>
    <s v="['Walking Simulator', 'Mystery', 'Atmospheric', 'Adventure', 'Thriller', 'Exploration', 'Story Rich', 'Dark', 'Female Protagonist', 'Singleplayer', 'First-Person', 'Short', 'Psychological', 'Open World', 'Realistic', &quot;1990's&quot;, 'Casual', 'Indie', 'Horror', 'Great Soundtrack']"/>
  </r>
  <r>
    <x v="15"/>
    <n v="6920"/>
    <s v="N"/>
    <m/>
    <x v="14"/>
    <x v="0"/>
    <d v="2004-03-05T00:00:00"/>
    <x v="14"/>
    <s v="Eidos Interactive Corp."/>
    <n v="61"/>
    <n v="82"/>
    <x v="12"/>
    <n v="53"/>
    <n v="1217"/>
    <x v="11"/>
    <x v="11"/>
    <s v="['Cyberpunk', 'Action', 'FPS', 'RPG', 'Sci-fi', 'Stealth', 'Immersive Sim', 'Singleplayer', 'Transhumanism', 'First-Person', 'Dystopian', 'Female Protagonist', 'Shooter', 'Story Rich', 'Atmospheric', 'Classic', 'Conspiracy', 'Action RPG', 'Adventure', 'Great Soundtrack']"/>
  </r>
  <r>
    <x v="16"/>
    <n v="227760"/>
    <s v="N"/>
    <m/>
    <x v="14"/>
    <x v="0"/>
    <d v="2013-02-18T00:00:00"/>
    <x v="15"/>
    <s v="Paradox Interactive"/>
    <n v="136"/>
    <n v="1"/>
    <x v="13"/>
    <m/>
    <m/>
    <x v="6"/>
    <x v="6"/>
    <s v="['Strategy', 'Simulation', 'Grand Strategy', 'Historical', 'Real-Time with Pause', 'Sandbox']"/>
  </r>
  <r>
    <x v="17"/>
    <n v="73210"/>
    <s v="N"/>
    <m/>
    <x v="14"/>
    <x v="0"/>
    <d v="2011-09-15T00:00:00"/>
    <x v="16"/>
    <s v="Paradox Interactive"/>
    <n v="189"/>
    <n v="2"/>
    <x v="14"/>
    <m/>
    <m/>
    <x v="12"/>
    <x v="12"/>
    <s v="['Strategy', 'Simulation', 'Grand Strategy', 'Historical', 'RPG', 'Medieval', 'Real-Time with Pause', 'Multiplayer', 'Singleplayer', 'Samurai']"/>
  </r>
  <r>
    <x v="18"/>
    <n v="19000"/>
    <s v="N"/>
    <m/>
    <x v="14"/>
    <x v="0"/>
    <d v="2009-03-02T00:00:00"/>
    <x v="17"/>
    <s v="KONAMI"/>
    <n v="191"/>
    <n v="148"/>
    <x v="15"/>
    <n v="26"/>
    <n v="1061"/>
    <x v="13"/>
    <x v="13"/>
    <s v="['Horror', 'Adventure', 'Survival Horror', 'Psychological Horror', 'Gore', 'Third Person', 'Story Rich', 'Atmospheric', 'Violent', 'Singleplayer', 'Great Soundtrack', 'Dark', 'Survival', 'Action', 'Multiplayer', 'Third-Person Shooter', 'Lovecraftian', 'Controller', 'RPG', 'Puzzle']"/>
  </r>
  <r>
    <x v="19"/>
    <n v="3062930"/>
    <s v="N"/>
    <m/>
    <x v="14"/>
    <x v="0"/>
    <d v="2024-10-10T00:00:00"/>
    <x v="18"/>
    <s v="Euphoric Brothers"/>
    <n v="232"/>
    <n v="2"/>
    <x v="16"/>
    <m/>
    <m/>
    <x v="14"/>
    <x v="14"/>
    <s v="['Online Co-Op', 'Horror', 'Multiplayer', 'First-Person', 'Exploration', 'Psychological Horror', 'Funny', 'Procedural Generation', 'Co-op', 'Survival Horror', 'Atmospheric', 'Dungeon Crawler', 'Adventure', '3D', 'Action', 'Action-Adventure', 'Early Access', 'Medieval', 'Casual', 'Singleplayer']"/>
  </r>
  <r>
    <x v="20"/>
    <n v="258180"/>
    <s v="Y"/>
    <n v="0"/>
    <x v="15"/>
    <x v="1"/>
    <d v="2014-03-18T00:00:00"/>
    <x v="19"/>
    <s v="Eidos Interactive Corp."/>
    <n v="63"/>
    <n v="75"/>
    <x v="17"/>
    <n v="62"/>
    <n v="488"/>
    <x v="4"/>
    <x v="4"/>
    <s v="['Cyberpunk', 'RPG', 'Action', 'Stealth', 'Sci-fi', 'Singleplayer', 'Adventure', 'First-Person', 'FPS', 'Episodic', 'Shooter', 'Dystopian', 'Transhumanism', 'Short', 'Atmospheric', 'Futuristic', 'Great Soundtrack', 'Action RPG', 'Story Rich', 'Immersive Sim']"/>
  </r>
  <r>
    <x v="21"/>
    <n v="788510"/>
    <s v="Y"/>
    <n v="0"/>
    <x v="13"/>
    <x v="1"/>
    <d v="1970-07-04T00:00:00"/>
    <x v="20"/>
    <s v="DIG Games"/>
    <n v="8"/>
    <m/>
    <x v="0"/>
    <n v="6"/>
    <n v="54"/>
    <x v="15"/>
    <x v="15"/>
    <s v="['Action', 'Indie']"/>
  </r>
  <r>
    <x v="22"/>
    <n v="1017100"/>
    <s v="Y"/>
    <n v="6"/>
    <x v="2"/>
    <x v="2"/>
    <d v="2019-09-10T00:00:00"/>
    <x v="21"/>
    <s v="Aleksandr Golovkin"/>
    <m/>
    <m/>
    <x v="0"/>
    <m/>
    <m/>
    <x v="16"/>
    <x v="16"/>
    <s v="['Incremental', 'Idler', 'Free to Play', 'Strategy', 'Indie', 'Singleplayer', 'Retro', 'Pixel Graphics', 'Early Access', '2D']"/>
  </r>
  <r>
    <x v="23"/>
    <n v="236390"/>
    <s v="Y"/>
    <n v="1"/>
    <x v="16"/>
    <x v="2"/>
    <d v="2013-08-15T00:00:00"/>
    <x v="22"/>
    <s v="Gaijin Network Ltd"/>
    <m/>
    <m/>
    <x v="0"/>
    <m/>
    <m/>
    <x v="17"/>
    <x v="17"/>
    <s v="['Free to Play', 'Vehicular Combat', 'Simulation', 'Action', 'Combat', 'Flight', 'World War II', 'VR', 'War', 'Military', 'Tanks', 'Multiplayer', 'Naval Combat', 'Massively Multiplayer', 'Modern', 'Cold War', 'Shooter', 'Realistic', 'Third Person', 'Third-Person Shooter']"/>
  </r>
  <r>
    <x v="24"/>
    <n v="337000"/>
    <s v="Y"/>
    <n v="0"/>
    <x v="17"/>
    <x v="2"/>
    <d v="2016-08-23T00:00:00"/>
    <x v="23"/>
    <s v="Eidos Interactive Corp."/>
    <m/>
    <m/>
    <x v="0"/>
    <m/>
    <m/>
    <x v="18"/>
    <x v="18"/>
    <s v="['Cyberpunk', 'Stealth', 'RPG', 'Sci-fi', 'Story Rich', 'Action', 'Atmospheric', 'Singleplayer', 'Immersive Sim', 'Futuristic', 'First-Person', 'FPS', 'Great Soundtrack', 'Open World', 'Shooter', 'Conspiracy', 'Dystopian', 'Transhumanism', 'Adventure', 'Third Person']"/>
  </r>
  <r>
    <x v="25"/>
    <n v="612880"/>
    <s v="Y"/>
    <n v="0"/>
    <x v="18"/>
    <x v="2"/>
    <d v="2017-10-26T00:00:00"/>
    <x v="24"/>
    <s v="Bethesda Softworks"/>
    <n v="239"/>
    <n v="1600"/>
    <x v="18"/>
    <n v="118"/>
    <n v="2142"/>
    <x v="2"/>
    <x v="2"/>
    <s v="['FPS', 'Action', 'Gore', 'Singleplayer', 'Alternate History', 'Violent', 'First-Person', 'Shooter', 'World War II', 'Story Rich', 'Nudity', 'Stealth', 'Sci-fi', 'Atmospheric', 'Comedy', 'Dystopian', 'Adventure', 'Great Soundtrack', 'Open World', 'Multiplayer']"/>
  </r>
  <r>
    <x v="26"/>
    <n v="2543510"/>
    <s v="Y"/>
    <n v="0"/>
    <x v="19"/>
    <x v="2"/>
    <d v="2025-08-07T00:00:00"/>
    <x v="25"/>
    <s v="Ghost Ship Publishing"/>
    <n v="103"/>
    <n v="7"/>
    <x v="19"/>
    <n v="2"/>
    <n v="2310"/>
    <x v="19"/>
    <x v="19"/>
    <s v="['Action Roguelike', 'Multiplayer', 'Roguelite', 'Post-apocalyptic', 'Online Co-Op', 'Zombies', 'Co-op', 'Replay Value', 'Difficult', 'PvE', 'Arena Shooter', 'Bullet Hell', 'Indie', 'Singleplayer', 'Survival Horror', 'Gore', 'Comedy', 'Action', 'Survival', 'Dark']"/>
  </r>
  <r>
    <x v="27"/>
    <n v="238090"/>
    <s v="Y"/>
    <n v="0"/>
    <x v="20"/>
    <x v="2"/>
    <d v="2014-06-27T00:00:00"/>
    <x v="26"/>
    <s v="Rebellion"/>
    <m/>
    <m/>
    <x v="0"/>
    <m/>
    <m/>
    <x v="20"/>
    <x v="20"/>
    <s v="['Sniper', 'Action', 'Stealth', 'Multiplayer', 'World War II', 'Co-op', 'Shooter', 'Adventure', 'Third-Person Shooter', 'Singleplayer', 'Tactical', 'War', 'Third Person', 'Gore', 'Online Co-Op', 'Open World', 'FPS', 'Strategy', 'Atmospheric', 'Simulation']"/>
  </r>
  <r>
    <x v="28"/>
    <n v="468670"/>
    <s v="Y"/>
    <n v="0"/>
    <x v="21"/>
    <x v="2"/>
    <d v="2018-09-18T00:00:00"/>
    <x v="27"/>
    <s v="Double Stallion"/>
    <n v="196"/>
    <n v="5"/>
    <x v="20"/>
    <n v="1"/>
    <n v="360"/>
    <x v="9"/>
    <x v="9"/>
    <s v="['Co-op', 'Female Protagonist', 'Online Co-Op', 'Spectacle fighter', 'Co-op Campaign', 'Local Co-Op', 'Fast-Paced', &quot;Beat 'em up&quot;, 'Side Scroller', 'Local Multiplayer', 'Character Customization', 'Anime', 'Indie', 'Combat', 'Steampunk', 'Multiplayer', 'Fighting', '2D Platformer', 'Action', 'Singleplayer']"/>
  </r>
  <r>
    <x v="29"/>
    <n v="1091980"/>
    <s v="Y"/>
    <n v="0"/>
    <x v="21"/>
    <x v="2"/>
    <d v="2019-08-27T00:00:00"/>
    <x v="28"/>
    <s v="inXile Entertainment"/>
    <n v="209"/>
    <n v="6"/>
    <x v="21"/>
    <n v="12"/>
    <n v="4745"/>
    <x v="16"/>
    <x v="16"/>
    <s v="['RPG', 'Turn-Based', 'Dungeon Crawler', 'Party-Based RPG', 'First-Person', 'Puzzle', 'Fantasy', 'CRPG', 'Singleplayer', 'Turn-Based Combat', 'Character Customization', 'Adventure']"/>
  </r>
  <r>
    <x v="30"/>
    <n v="409720"/>
    <s v="Y"/>
    <n v="0"/>
    <x v="22"/>
    <x v="2"/>
    <d v="2016-09-15T00:00:00"/>
    <x v="29"/>
    <s v="2K"/>
    <n v="26"/>
    <n v="1800"/>
    <x v="22"/>
    <n v="361"/>
    <n v="1526"/>
    <x v="18"/>
    <x v="18"/>
    <s v="['FPS', 'Action', 'Singleplayer', 'Story Rich', 'Atmospheric', 'Horror', 'First-Person', 'Shooter', 'Dystopian', 'Sci-fi', 'RPG', 'Steampunk', 'Underwater', 'Adventure', 'Dark', 'Great Soundtrack', 'Alternate History', 'Immersive Sim', 'Remake', 'Multiplayer']"/>
  </r>
  <r>
    <x v="31"/>
    <n v="743890"/>
    <s v="Y"/>
    <n v="0"/>
    <x v="23"/>
    <x v="2"/>
    <d v="2018-07-24T00:00:00"/>
    <x v="30"/>
    <s v="CAPCOM CO., LTD"/>
    <m/>
    <m/>
    <x v="0"/>
    <m/>
    <m/>
    <x v="9"/>
    <x v="9"/>
    <s v="['Action', 'Platformer', 'Classic', '2D', 'Retro', 'Great Soundtrack', 'Robots', 'Side Scroller', 'Singleplayer', 'Difficult', 'Anime', &quot;1990's&quot;, 'Sci-fi', 'Shooter', 'Pixel Graphics', '2D Platformer', 'Story Rich', 'Metroidvania']"/>
  </r>
  <r>
    <x v="32"/>
    <n v="388410"/>
    <s v="Y"/>
    <n v="0"/>
    <x v="24"/>
    <x v="2"/>
    <d v="2015-11-05T00:00:00"/>
    <x v="31"/>
    <s v="THQ Nordic"/>
    <n v="50"/>
    <n v="254"/>
    <x v="23"/>
    <n v="94"/>
    <n v="3320"/>
    <x v="21"/>
    <x v="21"/>
    <s v="['Action', 'Hack and Slash', 'Adventure', 'RPG', 'Open World', 'Singleplayer', 'Third Person', 'Fantasy', 'Puzzle', 'Story Rich', 'Great Soundtrack', 'Action RPG', 'Dark Fantasy', 'Loot', 'Parkour', 'Spectacle fighter', 'Gore', 'Controller', 'Souls-like', 'Metroidvania']"/>
  </r>
  <r>
    <x v="33"/>
    <n v="222480"/>
    <s v="Y"/>
    <n v="0"/>
    <x v="24"/>
    <x v="2"/>
    <d v="2013-05-20T00:00:00"/>
    <x v="32"/>
    <s v="Capcom"/>
    <n v="177"/>
    <n v="1300"/>
    <x v="24"/>
    <n v="61"/>
    <n v="2463"/>
    <x v="22"/>
    <x v="22"/>
    <s v="['Horror', 'Action', 'Zombies', 'Survival Horror', 'Third-Person Shooter', 'Adventure', 'Co-op', 'Female Protagonist', 'Third Person', 'Singleplayer', 'Online Co-Op', 'Multiplayer', 'Survival', 'Atmospheric', 'Shooter', 'Gore', 'Sci-fi', 'Great Soundtrack', 'Story Rich', 'Controller']"/>
  </r>
  <r>
    <x v="34"/>
    <n v="339340"/>
    <s v="Y"/>
    <n v="0"/>
    <x v="25"/>
    <x v="2"/>
    <d v="2016-01-19T00:00:00"/>
    <x v="33"/>
    <s v="CAPCOM Co., Ltd."/>
    <m/>
    <m/>
    <x v="0"/>
    <m/>
    <m/>
    <x v="23"/>
    <x v="23"/>
    <s v="['Horror', 'Zombies', 'Survival Horror', 'Adventure', 'Classic', 'Action', 'Singleplayer', 'Remake', 'Third Person', 'Atmospheric', 'Survival', 'Female Protagonist', 'Puzzle', 'Story Rich', 'Difficult', 'Gore', 'Third-Person Shooter', 'Multiplayer', 'Great Soundtrack', 'Shooter']"/>
  </r>
  <r>
    <x v="35"/>
    <n v="287290"/>
    <s v="Y"/>
    <n v="0"/>
    <x v="26"/>
    <x v="2"/>
    <d v="2015-02-24T00:00:00"/>
    <x v="34"/>
    <s v="CAPCOM Co., Ltd."/>
    <n v="178"/>
    <n v="602"/>
    <x v="25"/>
    <n v="38"/>
    <n v="2223"/>
    <x v="24"/>
    <x v="24"/>
    <s v="['Zombies', 'Horror', 'Multiplayer', 'Survival Horror', 'Action', 'Co-op', 'Adventure', 'Third-Person Shooter', 'Survival', 'Female Protagonist', 'Singleplayer', 'Local Co-Op', 'Gore', 'Third Person', 'Episodic', 'Atmospheric', 'Online Co-Op', 'Story Rich', 'Shooter', 'Action RPG']"/>
  </r>
  <r>
    <x v="36"/>
    <n v="268870"/>
    <s v="Y"/>
    <n v="0"/>
    <x v="27"/>
    <x v="2"/>
    <d v="2015-08-28T00:00:00"/>
    <x v="35"/>
    <s v="5 Lives Studios"/>
    <n v="187"/>
    <n v="18"/>
    <x v="26"/>
    <n v="7"/>
    <n v="2353"/>
    <x v="8"/>
    <x v="8"/>
    <s v="['Cyberpunk', 'Strategy', 'Action', 'Sci-fi', 'Indie', 'Tactical', 'Real-Time', 'Stealth', 'Open World', 'Co-op', 'Isometric', 'Top-Down', 'Class-Based', 'Singleplayer', 'RPG', 'RTS', 'Multiplayer', 'Atmospheric', 'Great Soundtrack', 'Real Time Tactics']"/>
  </r>
  <r>
    <x v="37"/>
    <n v="400180"/>
    <s v="Y"/>
    <n v="0"/>
    <x v="28"/>
    <x v="2"/>
    <d v="2016-08-18T00:00:00"/>
    <x v="36"/>
    <s v="Devolver Digital"/>
    <n v="155"/>
    <n v="7"/>
    <x v="27"/>
    <m/>
    <m/>
    <x v="18"/>
    <x v="18"/>
    <s v="['Action Roguelike', 'Action', 'Indie', 'Comedy', 'Mythology', 'Singleplayer', 'Roguelike', '2.5D', 'Strategy', 'Arcade', 'Pixel Graphics', 'Roguelite', 'Procedural Generation', 'Historical', 'Violent', 'Difficult', 'Retro', 'Perma Death', 'Real Time Tactics', 'Funny']"/>
  </r>
  <r>
    <x v="38"/>
    <n v="401710"/>
    <s v="Y"/>
    <n v="0"/>
    <x v="5"/>
    <x v="2"/>
    <d v="2017-04-18T00:00:00"/>
    <x v="37"/>
    <s v="Tribute Games Inc."/>
    <n v="92"/>
    <n v="5"/>
    <x v="28"/>
    <n v="2"/>
    <n v="3289"/>
    <x v="25"/>
    <x v="25"/>
    <s v="['Action Roguelike', 'Indie', 'Action', 'Adventure', 'Pixel Graphics', 'Roguelite', 'Platformer', 'Roguelike', '2D', 'Singleplayer', 'Difficult', 'Loot', '2D Platformer', 'Pirates', 'Great Soundtrack', 'Side Scroller', 'Colorful', 'Replay Value', 'Procedural Generation', 'Metroidvania']"/>
  </r>
  <r>
    <x v="39"/>
    <n v="1456200"/>
    <s v="Y"/>
    <n v="0"/>
    <x v="29"/>
    <x v="2"/>
    <d v="2023-03-30T00:00:00"/>
    <x v="38"/>
    <s v="RewindApp"/>
    <n v="119"/>
    <m/>
    <x v="0"/>
    <m/>
    <m/>
    <x v="26"/>
    <x v="26"/>
    <s v="['Racing', 'Open World', 'Immersive Sim', 'Combat Racing', 'Driving', 'Life Sim', 'Physics', 'PvP', 'Automobile Sim', 'MMORPG', 'First-Person', 'Action', 'Third Person', 'Relaxing', 'Simulation', 'Anime', 'Multiplayer', 'Atmospheric', 'Massively Multiplayer', &quot;1990's&quot;]"/>
  </r>
  <r>
    <x v="40"/>
    <n v="3837340"/>
    <s v="Y"/>
    <n v="0"/>
    <x v="30"/>
    <x v="2"/>
    <d v="2013-07-24T00:00:00"/>
    <x v="39"/>
    <s v="Square Enix"/>
    <n v="91"/>
    <n v="1500"/>
    <x v="29"/>
    <n v="761"/>
    <n v="4918"/>
    <x v="17"/>
    <x v="17"/>
    <s v="['RPG', 'Adventure', 'Strategy', 'JRPG', 'Party-Based RPG', 'Exploration', &quot;1990's&quot;, 'Cyberpunk', 'Fantasy', 'Dystopian', 'Retro', 'Magic', 'Atmospheric', 'Singleplayer', 'Story Rich', 'Sci-fi', 'Turn-Based', 'Great Soundtrack']"/>
  </r>
  <r>
    <x v="41"/>
    <n v="699920"/>
    <s v="Y"/>
    <n v="0"/>
    <x v="31"/>
    <x v="2"/>
    <d v="2018-11-08T00:00:00"/>
    <x v="40"/>
    <s v="Konfa Games"/>
    <n v="58"/>
    <n v="14"/>
    <x v="30"/>
    <n v="3"/>
    <n v="3674"/>
    <x v="27"/>
    <x v="27"/>
    <s v="['Strategy', 'Indie', 'Dark Humor', 'Difficult', 'Pixel Graphics', '2D', 'Simulation', 'Sexual Content', 'Singleplayer', 'Replay Value', 'Perma Death', 'Roguelite', 'Roguelike', 'Resource Management', 'Violent', 'Post-apocalyptic', 'Villain Protagonist', 'Management', 'Cyberpunk', 'Great Soundtrack']"/>
  </r>
  <r>
    <x v="42"/>
    <n v="327860"/>
    <s v="Y"/>
    <n v="0"/>
    <x v="32"/>
    <x v="2"/>
    <d v="2018-02-06T00:00:00"/>
    <x v="41"/>
    <s v="Lavaboots Studios"/>
    <n v="186"/>
    <m/>
    <x v="0"/>
    <m/>
    <m/>
    <x v="0"/>
    <x v="0"/>
    <s v="['Open World Survival Craft', 'Open World', 'Survival', 'Adventure', 'Crafting', 'Exploration', 'Pirates', 'Multiplayer', 'Sandbox', 'First-Person', 'Singleplayer', 'Indie', 'RPG', 'Action', 'Sailing', 'Naval', 'Procedural Generation', 'Early Access', 'Atmospheric', 'Walking Simulator']"/>
  </r>
  <r>
    <x v="43"/>
    <n v="671440"/>
    <s v="Y"/>
    <n v="0"/>
    <x v="7"/>
    <x v="2"/>
    <d v="2019-05-02T00:00:00"/>
    <x v="42"/>
    <s v="Kasedo Games"/>
    <n v="180"/>
    <n v="10"/>
    <x v="31"/>
    <n v="4"/>
    <n v="3480"/>
    <x v="28"/>
    <x v="28"/>
    <s v="['Management', 'Strategy', 'Economy', 'Simulation', 'City Builder', 'Resource Management', 'Indie', 'Base Building', 'Trading', 'Building', 'Singleplayer', 'Sandbox', 'Automation', 'Isometric', 'Capitalism', 'RTS', 'Transportation', 'Level Editor', 'Trains', 'Farming']"/>
  </r>
  <r>
    <x v="44"/>
    <n v="270050"/>
    <s v="Y"/>
    <n v="0"/>
    <x v="8"/>
    <x v="2"/>
    <d v="2014-03-25T00:00:00"/>
    <x v="43"/>
    <s v="David Amador"/>
    <n v="171"/>
    <n v="11"/>
    <x v="32"/>
    <n v="2"/>
    <n v="2394"/>
    <x v="4"/>
    <x v="4"/>
    <s v="['Traditional Roguelike', 'Turn-Based Tactics', 'Dungeon Crawler', 'Casual', 'Exploration', 'Perma Death', 'Difficult', 'Turn-Based', 'Survival', 'Roguelike', 'RPG', '2D', 'Top-Down', 'Funny', 'Procedural Generation', 'Pixel Graphics', 'Assassins', 'Fantasy', 'Class-Based', 'Adventure']"/>
  </r>
  <r>
    <x v="45"/>
    <n v="456780"/>
    <s v="Y"/>
    <n v="0"/>
    <x v="33"/>
    <x v="2"/>
    <d v="2016-06-09T00:00:00"/>
    <x v="44"/>
    <s v="Milestone S.r.l."/>
    <n v="75"/>
    <n v="6"/>
    <x v="33"/>
    <n v="3"/>
    <n v="1092"/>
    <x v="29"/>
    <x v="29"/>
    <s v="['Motorbike', 'Sports', 'Simulation', 'Racing', 'Cycling']"/>
  </r>
  <r>
    <x v="46"/>
    <n v="1238810"/>
    <s v="Y"/>
    <n v="0"/>
    <x v="34"/>
    <x v="2"/>
    <d v="2018-11-09T00:00:00"/>
    <x v="45"/>
    <s v="Electronic Arts"/>
    <n v="22"/>
    <n v="583"/>
    <x v="34"/>
    <n v="40"/>
    <n v="2362"/>
    <x v="27"/>
    <x v="27"/>
    <s v="['FPS', 'Multiplayer', 'Singleplayer', 'World War II', 'Shooter', 'War', 'Military', 'First-Person', 'Massively Multiplayer', 'PvP', 'Combat', 'Open World', 'Historical', 'Action', 'Destruction', 'Battle Royale', 'Atmospheric', 'Violent', 'Sexual Content', 'Female Protagonist']"/>
  </r>
  <r>
    <x v="47"/>
    <n v="441380"/>
    <s v="Y"/>
    <n v="0"/>
    <x v="35"/>
    <x v="2"/>
    <d v="2016-09-13T00:00:00"/>
    <x v="46"/>
    <s v="BANDAI NAMCO Entertainment"/>
    <n v="161"/>
    <n v="25"/>
    <x v="27"/>
    <n v="9"/>
    <n v="1024"/>
    <x v="18"/>
    <x v="18"/>
    <s v="['Casual', 'Arcade', 'Retro', 'Classic', 'Great Soundtrack', 'Singleplayer', 'Difficult', 'Fast-Paced', 'Score Attack', 'Action']"/>
  </r>
  <r>
    <x v="48"/>
    <n v="312840"/>
    <s v="Y"/>
    <n v="0"/>
    <x v="9"/>
    <x v="2"/>
    <d v="2015-01-28T00:00:00"/>
    <x v="47"/>
    <s v="Quantic Dream"/>
    <m/>
    <m/>
    <x v="0"/>
    <m/>
    <m/>
    <x v="24"/>
    <x v="24"/>
    <s v="['Story Rich', 'Quick-Time Events', 'Adventure', 'Atmospheric', 'Choices Matter', 'Mystery', 'Singleplayer', 'Cinematic', 'Nudity', 'Detective', 'Action', 'Horror', 'Classic', 'Supernatural', 'Great Soundtrack', 'Noir', 'Remake', 'Female Protagonist', 'RPG', 'Sexual Content']"/>
  </r>
  <r>
    <x v="49"/>
    <n v="812160"/>
    <s v="Y"/>
    <n v="0"/>
    <x v="11"/>
    <x v="2"/>
    <d v="2019-07-18T00:00:00"/>
    <x v="48"/>
    <s v="Akupara Games"/>
    <n v="80"/>
    <n v="89"/>
    <x v="35"/>
    <n v="43"/>
    <n v="250"/>
    <x v="16"/>
    <x v="16"/>
    <s v="['Indie', 'Adventure', 'Great Soundtrack', 'Puzzle', 'Puzzle Platformer', 'Atmospheric', 'Platformer', '3D Platformer', 'Minimalist', 'Colorful', 'Philosophical', 'Singleplayer', 'Silent Protagonist', 'Exploration', 'Music', 'Beautiful', 'Female Protagonist', 'Experimental', 'Surreal', 'Casual']"/>
  </r>
  <r>
    <x v="50"/>
    <n v="329380"/>
    <s v="Y"/>
    <n v="0"/>
    <x v="12"/>
    <x v="2"/>
    <d v="2015-04-30T00:00:00"/>
    <x v="49"/>
    <s v="Curve Games"/>
    <m/>
    <m/>
    <x v="0"/>
    <m/>
    <m/>
    <x v="30"/>
    <x v="30"/>
    <s v="['Indie', 'Action', 'Stealth', 'Platformer', 'Adventure', 'Puzzle', 'Puzzle Platformer', 'Singleplayer', 'Metroidvania', '2D', 'Side Scroller']"/>
  </r>
  <r>
    <x v="51"/>
    <n v="443810"/>
    <s v="Y"/>
    <n v="0"/>
    <x v="36"/>
    <x v="2"/>
    <d v="2016-08-02T00:00:00"/>
    <x v="50"/>
    <s v="THQ Nordic"/>
    <n v="224"/>
    <n v="94"/>
    <x v="36"/>
    <n v="25"/>
    <n v="2088"/>
    <x v="18"/>
    <x v="18"/>
    <s v="['Strategy', 'Management', 'Story Rich', 'Crime', 'Choices Matter', 'Singleplayer', 'Indie', 'Simulation', 'Detective', 'Noir', 'Atmospheric', 'Adventure', 'Great Soundtrack', 'Political', 'Villain Protagonist', 'Visual Novel', 'Memes', 'Nudity', 'Sexual Content', 'Politics']"/>
  </r>
  <r>
    <x v="52"/>
    <n v="274230"/>
    <s v="Y"/>
    <n v="0"/>
    <x v="37"/>
    <x v="2"/>
    <d v="2015-06-30T00:00:00"/>
    <x v="51"/>
    <s v="Devolver Digital"/>
    <n v="182"/>
    <n v="25"/>
    <x v="37"/>
    <n v="21"/>
    <n v="726"/>
    <x v="30"/>
    <x v="30"/>
    <s v="['Indie', 'Action', 'Ninja', 'Turn-Based', 'Platformer', 'Stealth', '2D', 'Female Protagonist', 'Turn-Based Combat', 'Turn-Based Tactics', 'Singleplayer', 'Difficult', 'Cyberpunk', 'Great Soundtrack', 'Puzzle', 'Pixel Graphics']"/>
  </r>
  <r>
    <x v="53"/>
    <n v="727760"/>
    <s v="Y"/>
    <n v="0"/>
    <x v="37"/>
    <x v="2"/>
    <d v="2018-03-28T00:00:00"/>
    <x v="52"/>
    <s v="Devolver Digital"/>
    <n v="230"/>
    <n v="3"/>
    <x v="37"/>
    <n v="8"/>
    <n v="310"/>
    <x v="0"/>
    <x v="0"/>
    <s v="['Adventure', 'Indie', 'Strategy', 'Puzzle', 'Singleplayer', 'Colorful']"/>
  </r>
  <r>
    <x v="54"/>
    <n v="578720"/>
    <s v="Y"/>
    <n v="0"/>
    <x v="38"/>
    <x v="2"/>
    <d v="2017-10-18T00:00:00"/>
    <x v="53"/>
    <s v="Laundry Bear Games"/>
    <n v="6"/>
    <n v="104"/>
    <x v="38"/>
    <n v="152"/>
    <n v="78"/>
    <x v="2"/>
    <x v="2"/>
    <s v="['Indie', 'Casual', 'Female Protagonist', 'Short', 'Singleplayer', 'Point &amp; Click', 'Dark', 'LGBTQ+', 'Visual Novel', 'Story Rich', 'Relaxing', 'Atmospheric', 'Silent Protagonist', 'Experimental', 'Cute', 'Colorful', 'Stylized', 'Walking Simulator', 'Great Soundtrack', 'Interactive Fiction']"/>
  </r>
  <r>
    <x v="55"/>
    <n v="407530"/>
    <s v="N"/>
    <m/>
    <x v="14"/>
    <x v="2"/>
    <d v="2017-08-29T00:00:00"/>
    <x v="54"/>
    <s v="Studio Wildcard"/>
    <n v="17"/>
    <m/>
    <x v="0"/>
    <m/>
    <m/>
    <x v="3"/>
    <x v="3"/>
    <s v="['Free to Play', 'Survival', 'Dinosaurs', 'Multiplayer', 'Open World', 'Action', 'Adventure', 'Massively Multiplayer', 'PvP', 'Dragons', 'Crafting', 'Early Access', 'RPG', 'First-Person', 'Singleplayer', 'Strategy', 'Exploration', 'Sandbox', 'FPS', 'Indie']"/>
  </r>
  <r>
    <x v="56"/>
    <n v="582660"/>
    <s v="N"/>
    <m/>
    <x v="14"/>
    <x v="2"/>
    <d v="2017-05-24T00:00:00"/>
    <x v="55"/>
    <s v="Pearl Abyss"/>
    <n v="29"/>
    <n v="18"/>
    <x v="39"/>
    <n v="9"/>
    <n v="138517"/>
    <x v="25"/>
    <x v="25"/>
    <s v="['Sandbox', 'Action RPG', 'Exploration', 'MMORPG', 'War', 'Medieval', 'Crafting', 'PvP', 'First-Person', 'Action-Adventure', 'Open World', 'Character Customization', 'RPG', 'Strategy', '3D', 'Cooking', 'Fantasy', 'Action', 'Magic', 'Cinematic']"/>
  </r>
  <r>
    <x v="57"/>
    <n v="920490"/>
    <s v="N"/>
    <m/>
    <x v="14"/>
    <x v="2"/>
    <d v="2018-11-01T00:00:00"/>
    <x v="56"/>
    <s v="IObit"/>
    <m/>
    <m/>
    <x v="0"/>
    <m/>
    <m/>
    <x v="27"/>
    <x v="27"/>
    <s v="['Utilities', 'Software', 'Free to Play', 'Psychological Horror']"/>
  </r>
  <r>
    <x v="58"/>
    <n v="38420"/>
    <s v="N"/>
    <m/>
    <x v="14"/>
    <x v="2"/>
    <d v="2001-03-01T00:00:00"/>
    <x v="57"/>
    <s v="Bethesda Softworks"/>
    <n v="87"/>
    <n v="18"/>
    <x v="40"/>
    <n v="19"/>
    <n v="2907"/>
    <x v="31"/>
    <x v="31"/>
    <s v="['Post-apocalyptic', 'RPG', 'Turn-Based', 'Strategy', 'Tactical', 'Isometric', 'Classic', 'Singleplayer', 'Sci-fi', 'Turn-Based Strategy', 'Tactical RPG', 'Open World', 'Real-Time with Pause', 'Action', 'Atmospheric', 'Turn-Based Tactics', 'Story Rich', 'Multiplayer', 'CRPG', 'Adventure']"/>
  </r>
  <r>
    <x v="59"/>
    <n v="360"/>
    <s v="N"/>
    <m/>
    <x v="14"/>
    <x v="2"/>
    <d v="2006-05-01T00:00:00"/>
    <x v="58"/>
    <s v="Valve"/>
    <n v="108"/>
    <m/>
    <x v="0"/>
    <m/>
    <m/>
    <x v="32"/>
    <x v="32"/>
    <s v="['Action', 'FPS', 'Multiplayer', 'Shooter', 'Sci-fi', 'First-Person', 'Classic', 'Remake', 'Violent', 'Adventure', 'Competitive', 'Fast-Paced', 'Atmospheric', 'Singleplayer', 'Horror', 'Gore', 'Arena Shooter', 'Retro']"/>
  </r>
  <r>
    <x v="60"/>
    <n v="407980"/>
    <s v="N"/>
    <m/>
    <x v="14"/>
    <x v="2"/>
    <d v="2015-11-06T00:00:00"/>
    <x v="59"/>
    <s v="Winged Cloud"/>
    <n v="184"/>
    <n v="18"/>
    <x v="41"/>
    <n v="24"/>
    <n v="200"/>
    <x v="21"/>
    <x v="21"/>
    <s v="['Nudity', 'Anime', 'Visual Novel', 'Indie', 'Casual', 'Sexual Content', 'Dating Sim', 'Singleplayer', 'Hentai']"/>
  </r>
  <r>
    <x v="61"/>
    <n v="828900"/>
    <s v="N"/>
    <m/>
    <x v="14"/>
    <x v="2"/>
    <d v="2019-02-07T00:00:00"/>
    <x v="60"/>
    <s v="Fellow Traveller"/>
    <n v="217"/>
    <n v="52"/>
    <x v="42"/>
    <n v="12"/>
    <n v="230"/>
    <x v="33"/>
    <x v="33"/>
    <s v="['Indie', 'Adventure', 'Atmospheric', 'Story Rich', 'Female Protagonist', 'Agriculture', 'Singleplayer', 'Beautiful', 'Point &amp; Click', 'Simulation', 'Emotional', 'Casual', 'Psychological', 'Exploration', 'Great Soundtrack', 'Dystopian', 'Farming', 'Cozy', 'Psychological Horror']"/>
  </r>
  <r>
    <x v="62"/>
    <n v="438100"/>
    <s v="N"/>
    <m/>
    <x v="14"/>
    <x v="2"/>
    <d v="2017-02-01T00:00:00"/>
    <x v="61"/>
    <s v="VRChat Inc."/>
    <m/>
    <m/>
    <x v="0"/>
    <m/>
    <m/>
    <x v="1"/>
    <x v="1"/>
    <s v="['VR', 'Free to Play', 'Multiplayer', 'Anime', 'Memes', 'Funny', 'Massively Multiplayer', 'First-Person', 'Open World', 'Early Access', 'Simulation', 'Casual', 'Adventure', 'Sandbox', 'Comedy', 'MMORPG', 'Dating Sim', 'Survival Horror', 'Action', 'Atmospheric']"/>
  </r>
  <r>
    <x v="63"/>
    <n v="632360"/>
    <s v="Y"/>
    <n v="0"/>
    <x v="39"/>
    <x v="3"/>
    <d v="2020-08-11T00:00:00"/>
    <x v="62"/>
    <s v="Gearbox Publishing"/>
    <n v="181"/>
    <n v="280"/>
    <x v="43"/>
    <n v="160"/>
    <n v="9587"/>
    <x v="34"/>
    <x v="34"/>
    <s v="['Third-Person Shooter', 'Action Roguelike', 'Multiplayer', 'Co-op', 'Roguelite', 'Roguelike', 'Action', 'Looter Shooter', 'Loot', 'Online Co-Op', 'Shooter', 'Great Soundtrack', 'Difficult', 'Indie', 'Third Person', 'Survival', 'Singleplayer', 'Soundtrack', 'Early Access', 'Bullet Hell']"/>
  </r>
  <r>
    <x v="64"/>
    <n v="960090"/>
    <s v="Y"/>
    <n v="46"/>
    <x v="40"/>
    <x v="3"/>
    <d v="2018-12-17T00:00:00"/>
    <x v="63"/>
    <s v="Ninja Kiwi"/>
    <n v="30"/>
    <n v="56"/>
    <x v="44"/>
    <n v="23"/>
    <n v="35862"/>
    <x v="27"/>
    <x v="27"/>
    <s v="['Tower Defense', 'Strategy', 'Multiplayer', 'Singleplayer', 'Online Co-Op', 'Co-op', 'Family Friendly', 'Casual', '3D', 'Cartoony', 'Sandbox', '2D', 'Great Soundtrack', 'Difficult', 'Touch-Friendly', 'Cute', 'Funny', 'Addictive', 'Survival', 'Action']"/>
  </r>
  <r>
    <x v="65"/>
    <n v="105600"/>
    <s v="Y"/>
    <n v="114"/>
    <x v="41"/>
    <x v="3"/>
    <d v="2011-05-16T00:00:00"/>
    <x v="64"/>
    <s v="Re-Logic"/>
    <n v="208"/>
    <n v="702"/>
    <x v="45"/>
    <n v="675"/>
    <n v="13916"/>
    <x v="35"/>
    <x v="35"/>
    <s v="['Open World Survival Craft', 'Sandbox', 'Survival', '2D', 'Multiplayer', 'Pixel Graphics', 'Adventure', 'Crafting', 'Building', 'Exploration', 'Co-op', 'Open World', 'Indie', 'Online Co-Op', 'Action', 'RPG', 'Singleplayer', 'Replay Value', 'Platformer', 'Atmospheric']"/>
  </r>
  <r>
    <x v="66"/>
    <n v="550"/>
    <s v="Y"/>
    <n v="5"/>
    <x v="42"/>
    <x v="3"/>
    <d v="2009-11-19T00:00:00"/>
    <x v="65"/>
    <s v="Valve"/>
    <n v="127"/>
    <n v="600"/>
    <x v="46"/>
    <n v="79"/>
    <n v="4353"/>
    <x v="36"/>
    <x v="36"/>
    <s v="['Zombies', 'Co-op', 'FPS', 'Multiplayer', 'Shooter', 'Online Co-Op', 'Action', 'Survival', 'Horror', 'First-Person', 'Gore', 'Team-Based', 'Moddable', 'Survival Horror', 'Post-apocalyptic', 'Singleplayer', 'Adventure', 'Local Co-Op', 'Replay Value', 'Tactical']"/>
  </r>
  <r>
    <x v="67"/>
    <n v="205100"/>
    <s v="Y"/>
    <n v="0"/>
    <x v="18"/>
    <x v="3"/>
    <d v="2012-10-11T00:00:00"/>
    <x v="66"/>
    <s v="Bethesda Softworks"/>
    <n v="68"/>
    <n v="2300"/>
    <x v="47"/>
    <n v="421"/>
    <n v="2427"/>
    <x v="37"/>
    <x v="37"/>
    <s v="['Stealth', 'First-Person', 'Assassins', 'Action', 'Steampunk', 'Singleplayer', 'Atmospheric', 'Story Rich', 'Multiple Endings', 'Adventure', 'Dark', 'Magic', 'Dystopian', 'FPS', 'RPG', 'Immersive Sim', 'Replay Value', 'Fantasy', 'Open World', 'Shooter']"/>
  </r>
  <r>
    <x v="68"/>
    <n v="292030"/>
    <s v="Y"/>
    <n v="0"/>
    <x v="43"/>
    <x v="3"/>
    <d v="2015-05-18T00:00:00"/>
    <x v="67"/>
    <s v="CD PROJEKT RED"/>
    <n v="220"/>
    <n v="2700"/>
    <x v="48"/>
    <n v="2400"/>
    <n v="10829"/>
    <x v="30"/>
    <x v="30"/>
    <s v="['Open World', 'RPG', 'Story Rich', 'Atmospheric', 'Fantasy', 'Adventure', 'Singleplayer', 'Nudity', 'Choices Matter', 'Great Soundtrack', 'Third Person', 'Medieval', 'Action', 'Multiple Endings', 'Action RPG', 'Dark Fantasy', 'Magic', 'Dark', 'Sandbox', 'Sexual Content']"/>
  </r>
  <r>
    <x v="69"/>
    <n v="22380"/>
    <s v="Y"/>
    <n v="41"/>
    <x v="44"/>
    <x v="3"/>
    <d v="2010-10-21T00:00:00"/>
    <x v="68"/>
    <s v="Bethesda Softworks"/>
    <n v="88"/>
    <n v="858"/>
    <x v="49"/>
    <n v="482"/>
    <n v="8193"/>
    <x v="38"/>
    <x v="38"/>
    <s v="['Open World', 'RPG', 'Post-apocalyptic', 'Singleplayer', 'Moddable', 'Story Rich', 'Exploration', 'First-Person', 'Action', 'Adventure', 'FPS', 'Sci-fi', 'Western', 'Atmospheric', 'Action RPG', 'Character Customization', 'Survival', 'Sandbox', 'Shooter', 'Third Person']"/>
  </r>
  <r>
    <x v="70"/>
    <n v="500"/>
    <s v="Y"/>
    <n v="0"/>
    <x v="45"/>
    <x v="3"/>
    <d v="2008-11-17T00:00:00"/>
    <x v="69"/>
    <s v="Valve"/>
    <n v="126"/>
    <n v="494"/>
    <x v="50"/>
    <n v="46"/>
    <n v="3606"/>
    <x v="39"/>
    <x v="39"/>
    <s v="['Zombies', 'Co-op', 'Multiplayer', 'FPS', 'Action', 'Horror', 'Shooter', 'Online Co-Op', 'Survival', 'Team-Based', 'First-Person', 'Post-apocalyptic', 'Singleplayer', 'Moddable', 'Atmospheric', 'Adventure', 'Tactical', 'Replay Value', 'Competitive', 'Female Protagonist']"/>
  </r>
  <r>
    <x v="71"/>
    <n v="287980"/>
    <s v="Y"/>
    <n v="0"/>
    <x v="45"/>
    <x v="3"/>
    <d v="2015-11-06T00:00:00"/>
    <x v="70"/>
    <s v="Dinosaur Polo Club"/>
    <n v="144"/>
    <n v="97"/>
    <x v="51"/>
    <n v="41"/>
    <n v="2743"/>
    <x v="21"/>
    <x v="21"/>
    <s v="['Strategy', 'Puzzle', 'Minimalist', 'Simulation', 'Trains', 'Indie', 'Singleplayer', 'Casual', 'Management', '2D', 'Relaxing', 'Transportation', 'Building', 'Mouse Only', 'Touch-Friendly', 'Difficult', 'Great Soundtrack', 'Addictive', 'Replay Value', 'Top-Down']"/>
  </r>
  <r>
    <x v="72"/>
    <n v="548430"/>
    <s v="Y"/>
    <n v="8"/>
    <x v="46"/>
    <x v="3"/>
    <d v="2020-05-13T00:00:00"/>
    <x v="71"/>
    <s v="Coffee Stain Publishing"/>
    <n v="57"/>
    <n v="89"/>
    <x v="52"/>
    <n v="30"/>
    <n v="31147"/>
    <x v="40"/>
    <x v="40"/>
    <s v="['Dwarves', 'Co-op', 'PvE', 'FPS', 'Procedural Generation', 'Class-Based', 'Shooter', 'Exploration', 'First-Person', 'Loot', 'Sci-fi', 'Action', 'Space', 'Atmospheric', 'Looter Shooter', 'Combat', 'Survival', 'Horror', 'Dark', 'Action Roguelike']"/>
  </r>
  <r>
    <x v="73"/>
    <n v="220"/>
    <s v="Y"/>
    <n v="0"/>
    <x v="46"/>
    <x v="3"/>
    <d v="2004-11-16T00:00:00"/>
    <x v="72"/>
    <s v="Valve"/>
    <n v="106"/>
    <n v="3100"/>
    <x v="53"/>
    <n v="807"/>
    <n v="1245"/>
    <x v="41"/>
    <x v="41"/>
    <s v="['FPS', 'Action', 'Sci-fi', 'Classic', 'Singleplayer', 'Story Rich', 'Shooter', 'First-Person', 'Adventure', 'Dystopian', 'Atmospheric', 'Silent Protagonist', 'Zombies', 'Physics', 'Aliens', 'Great Soundtrack', 'Horror', 'Multiplayer', 'Puzzle', 'Moddable']"/>
  </r>
  <r>
    <x v="74"/>
    <n v="367520"/>
    <s v="Y"/>
    <n v="0"/>
    <x v="47"/>
    <x v="3"/>
    <d v="2017-02-24T00:00:00"/>
    <x v="73"/>
    <s v="Team Cherry"/>
    <n v="115"/>
    <n v="2700"/>
    <x v="54"/>
    <n v="2000"/>
    <n v="4207"/>
    <x v="1"/>
    <x v="1"/>
    <s v="['Metroidvania', 'Platformer', 'Souls-like', 'Difficult', 'Great Soundtrack', '2D', 'Indie', 'Singleplayer', 'Exploration', 'Atmospheric', 'Adventure', 'Story Rich', 'Hand-drawn', 'Multiple Endings', 'Action', 'Dark Fantasy', 'Open World', 'Cute', 'Controller', 'Side Scroller']"/>
  </r>
  <r>
    <x v="75"/>
    <n v="247080"/>
    <s v="Y"/>
    <n v="0"/>
    <x v="48"/>
    <x v="3"/>
    <d v="2015-04-23T00:00:00"/>
    <x v="74"/>
    <s v="Brace Yourself Games"/>
    <n v="40"/>
    <n v="147"/>
    <x v="55"/>
    <n v="5"/>
    <n v="30462"/>
    <x v="30"/>
    <x v="30"/>
    <s v="['Rhythm', 'Roguelike', 'Great Soundtrack', 'Pixel Graphics', 'Dungeon Crawler', 'Indie', 'Difficult', 'Female Protagonist', 'Music', 'Local Co-Op', 'RPG', '2D', 'Action', 'Roguelite', 'Procedural Generation', 'Singleplayer', 'Fantasy', 'Co-op', 'Adventure', 'Retro']"/>
  </r>
  <r>
    <x v="76"/>
    <n v="601150"/>
    <s v="Y"/>
    <n v="0"/>
    <x v="49"/>
    <x v="3"/>
    <d v="2019-03-07T00:00:00"/>
    <x v="75"/>
    <s v="CAPCOM Co., Ltd."/>
    <n v="65"/>
    <n v="1900"/>
    <x v="56"/>
    <n v="75"/>
    <n v="4868"/>
    <x v="33"/>
    <x v="33"/>
    <s v="['Action', 'Hack and Slash', 'Great Soundtrack', 'Character Action Game', 'Demons', 'Spectacle fighter', 'Third Person', 'Singleplayer', 'Sexual Content', 'Nudity', 'Violent', 'Story Rich', 'Stylized', 'Difficult', 'Gore', 'Multiplayer', 'Classic', 'Controller', 'Adventure', 'Anime']"/>
  </r>
  <r>
    <x v="77"/>
    <n v="638970"/>
    <s v="Y"/>
    <n v="0"/>
    <x v="49"/>
    <x v="3"/>
    <d v="2018-08-01T00:00:00"/>
    <x v="76"/>
    <s v="SEGA"/>
    <n v="243"/>
    <n v="1400"/>
    <x v="57"/>
    <n v="399"/>
    <n v="8822"/>
    <x v="9"/>
    <x v="9"/>
    <s v="['Story Rich', 'Action', &quot;Beat 'em up&quot;, 'Great Soundtrack', 'Crime', 'Open World', 'Minigames', 'Funny', 'RPG', 'Singleplayer', 'Violent', 'Adventure', 'Comedy', 'Sexual Content', 'Third Person', 'Atmospheric', 'JRPG', 'Dating Sim', 'Anime', '1980s']"/>
  </r>
  <r>
    <x v="78"/>
    <n v="379720"/>
    <s v="Y"/>
    <n v="0"/>
    <x v="50"/>
    <x v="3"/>
    <d v="2016-05-12T00:00:00"/>
    <x v="77"/>
    <s v="Bethesda Softworks"/>
    <n v="72"/>
    <n v="3500"/>
    <x v="58"/>
    <n v="696"/>
    <n v="1754"/>
    <x v="29"/>
    <x v="29"/>
    <s v="['FPS', 'Gore', 'Action', 'Shooter', 'Great Soundtrack', 'Demons', 'First-Person', 'Multiplayer', 'Fast-Paced', 'Singleplayer', 'Sci-fi', 'Horror', 'Atmospheric', 'Classic', 'Difficult', 'Remake', 'Zombies', 'Violent', 'Co-op', 'Boomer Shooter']"/>
  </r>
  <r>
    <x v="79"/>
    <n v="311690"/>
    <s v="Y"/>
    <n v="0"/>
    <x v="50"/>
    <x v="3"/>
    <d v="2016-04-05T00:00:00"/>
    <x v="78"/>
    <s v="Devolver Digital"/>
    <n v="79"/>
    <n v="205"/>
    <x v="59"/>
    <n v="181"/>
    <n v="10025"/>
    <x v="29"/>
    <x v="29"/>
    <s v="['Bullet Hell', 'Action Roguelike', 'Roguelike', 'Pixel Graphics', 'Difficult', 'Dungeon Crawler', 'Indie', 'Local Co-Op', 'Multiplayer', 'Twin Stick Shooter', 'Co-op', 'Action', '2D', 'Top-Down', 'Shooter', 'Singleplayer', 'Roguelite', 'Loot', 'Cute', 'Funny']"/>
  </r>
  <r>
    <x v="80"/>
    <n v="743450"/>
    <s v="Y"/>
    <n v="7"/>
    <x v="23"/>
    <x v="3"/>
    <d v="2018-04-27T00:00:00"/>
    <x v="79"/>
    <s v="Xelu"/>
    <n v="146"/>
    <n v="116"/>
    <x v="60"/>
    <n v="11"/>
    <n v="7746"/>
    <x v="7"/>
    <x v="7"/>
    <s v="['Dating Sim', 'Comedy', 'LGBTQ+', 'Multiplayer', 'Choices Matter', 'Visual Novel', 'Funny', 'Indie', 'Vampires', 'Simulation', 'Sexual Content', 'Local Multiplayer', 'Fantasy', 'Story Rich', 'Demons', 'Online Co-Op', 'Nudity', 'Zombies', 'Great Soundtrack', 'Life Sim']"/>
  </r>
  <r>
    <x v="81"/>
    <n v="212680"/>
    <s v="Y"/>
    <n v="0"/>
    <x v="3"/>
    <x v="3"/>
    <d v="2012-09-14T00:00:00"/>
    <x v="80"/>
    <s v="Subset Games"/>
    <n v="95"/>
    <n v="300"/>
    <x v="61"/>
    <n v="65"/>
    <n v="7296"/>
    <x v="42"/>
    <x v="42"/>
    <s v="['Roguelike', 'Space', 'Strategy', 'Sci-fi', 'Indie', 'Singleplayer', 'Perma Death', 'Difficult', 'Replay Value', 'Real-Time with Pause', 'Procedural Generation', 'Tactical', 'Top-Down', 'Space Sim', 'Roguelite', '2D', 'Survival', 'Choose Your Own Adventure', 'Adventure', 'Simulation']"/>
  </r>
  <r>
    <x v="82"/>
    <n v="457140"/>
    <s v="Y"/>
    <n v="1"/>
    <x v="3"/>
    <x v="3"/>
    <d v="2019-07-30T00:00:00"/>
    <x v="81"/>
    <s v="Klei Entertainment"/>
    <n v="160"/>
    <n v="26"/>
    <x v="62"/>
    <n v="3"/>
    <n v="29798"/>
    <x v="16"/>
    <x v="16"/>
    <s v="['Colony Sim', 'Base Building', 'Survival', 'Resource Management', 'Building', 'Singleplayer', 'Management', '2D', 'Sandbox', 'Simulation', 'Strategy', 'Space', 'Indie', 'Sci-fi', 'Difficult', 'Exploration', 'Open World', 'Multiplayer', 'Adventure', 'Space Sim']"/>
  </r>
  <r>
    <x v="83"/>
    <n v="620"/>
    <s v="Y"/>
    <n v="0"/>
    <x v="3"/>
    <x v="3"/>
    <d v="2011-04-18T00:00:00"/>
    <x v="82"/>
    <s v="Valve"/>
    <n v="168"/>
    <n v="5700"/>
    <x v="63"/>
    <n v="745"/>
    <n v="1444"/>
    <x v="35"/>
    <x v="35"/>
    <s v="['Singleplayer', 'Platformer', 'Puzzle', 'First-Person', 'Dark Humor', 'Story Rich', 'Puzzle Platformer', 'Funny', 'Female Protagonist', '3D Platformer', 'Action-Adventure', 'Co-op', 'Action', 'FPS', 'Physics', 'Sci-fi', 'Level Editor', 'Science', 'Comedy', 'Atmospheric']"/>
  </r>
  <r>
    <x v="84"/>
    <n v="1145360"/>
    <s v="Y"/>
    <n v="0"/>
    <x v="4"/>
    <x v="3"/>
    <d v="2020-09-17T00:00:00"/>
    <x v="83"/>
    <s v="Supergiant Games"/>
    <n v="105"/>
    <n v="2800"/>
    <x v="64"/>
    <n v="1400"/>
    <n v="5907"/>
    <x v="34"/>
    <x v="34"/>
    <s v="['Action Roguelike', 'Roguelite', 'Hack and Slash', 'Indie', 'Mythology', 'Action', 'Roguelike', 'Singleplayer', 'Great Soundtrack', 'Story Rich', 'Dungeon Crawler', 'RPG', 'Replay Value', 'Isometric', 'Difficult', 'Hand-drawn', 'Action RPG', 'Atmospheric', 'LGBTQ+', 'Perma Death']"/>
  </r>
  <r>
    <x v="85"/>
    <n v="1140270"/>
    <s v="Y"/>
    <n v="0"/>
    <x v="4"/>
    <x v="3"/>
    <d v="2020-10-23T00:00:00"/>
    <x v="84"/>
    <s v="Beautiful Glitch"/>
    <n v="147"/>
    <n v="32"/>
    <x v="65"/>
    <m/>
    <m/>
    <x v="43"/>
    <x v="43"/>
    <s v="['Dating Sim', 'LGBTQ+', 'Multiplayer', 'Comedy', 'Indie', 'Multiple Endings', 'Online Co-Op', 'Visual Novel', 'Casual', 'Funny', 'Singleplayer', 'Text-Based', 'Dark Comedy', 'Romance', '2D', 'Fantasy', 'Choose Your Own Adventure', 'Story Rich', 'Sequel', 'Simulation']"/>
  </r>
  <r>
    <x v="86"/>
    <n v="413420"/>
    <s v="Y"/>
    <n v="15"/>
    <x v="25"/>
    <x v="3"/>
    <d v="2016-04-18T00:00:00"/>
    <x v="85"/>
    <s v="Spike Chunsoft Co., Ltd."/>
    <n v="42"/>
    <n v="967"/>
    <x v="66"/>
    <n v="216"/>
    <n v="3715"/>
    <x v="29"/>
    <x v="29"/>
    <s v="['Anime', 'Detective', 'Visual Novel', 'Mystery', 'Story Rich', 'Great Soundtrack', 'Singleplayer', 'Psychological Horror', 'Adventure', 'Dark Comedy', 'Puzzle', 'Horror', 'Atmospheric', 'Dark', 'Comedy', 'Dating Sim', 'Funny', 'Memes', 'Walking Simulator', 'Sexual Content']"/>
  </r>
  <r>
    <x v="87"/>
    <n v="843260"/>
    <s v="Y"/>
    <n v="0"/>
    <x v="25"/>
    <x v="3"/>
    <d v="2018-08-14T00:00:00"/>
    <x v="86"/>
    <s v="inXile Entertainment"/>
    <n v="210"/>
    <n v="3"/>
    <x v="67"/>
    <n v="7"/>
    <n v="6139"/>
    <x v="9"/>
    <x v="9"/>
    <s v="['RPG', 'Dungeon Crawler', 'Classic', 'Grid-Based Movement', 'Fantasy', 'First-Person', 'Old School', 'Singleplayer', 'Party-Based RPG', 'Remake', 'Retro', 'Turn-Based', 'CRPG', '2D', 'Turn-Based Combat']"/>
  </r>
  <r>
    <x v="88"/>
    <n v="253230"/>
    <s v="Y"/>
    <n v="0"/>
    <x v="51"/>
    <x v="3"/>
    <d v="2017-10-05T00:00:00"/>
    <x v="87"/>
    <s v="Gears for Breakfast"/>
    <n v="5"/>
    <n v="540"/>
    <x v="68"/>
    <n v="416"/>
    <n v="1266"/>
    <x v="2"/>
    <x v="2"/>
    <s v="['Cute', '3D Platformer', 'Collectathon', 'Great Soundtrack', 'Funny', 'Female Protagonist', 'Adventure', 'Indie', 'Platformer', 'Colorful', 'Exploration', 'Third Person', 'Singleplayer', 'Co-op', 'Moddable', 'Open World', 'Comedy', 'Family Friendly', 'Action', 'Atmospheric']"/>
  </r>
  <r>
    <x v="89"/>
    <n v="646570"/>
    <s v="Y"/>
    <n v="38"/>
    <x v="51"/>
    <x v="3"/>
    <d v="2019-01-23T00:00:00"/>
    <x v="88"/>
    <s v="Mega Crit"/>
    <n v="192"/>
    <n v="737"/>
    <x v="69"/>
    <n v="182"/>
    <n v="11983"/>
    <x v="33"/>
    <x v="33"/>
    <s v="['Roguelike Deckbuilder', 'Card Game', 'Card Battler', 'Roguelike', 'Deckbuilding', 'Turn-Based', 'Strategy', 'Singleplayer', 'Roguelite', 'Replay Value', 'Indie', 'Difficult', 'Dungeon Crawler', 'Mouse Only', 'RPG', '2D', 'Fantasy', 'Procedural Generation', 'Great Soundtrack', 'Casual']"/>
  </r>
  <r>
    <x v="90"/>
    <n v="293780"/>
    <s v="Y"/>
    <n v="0"/>
    <x v="52"/>
    <x v="3"/>
    <d v="2017-04-11T00:00:00"/>
    <x v="89"/>
    <s v="Powerhoof"/>
    <n v="38"/>
    <n v="29"/>
    <x v="70"/>
    <m/>
    <m/>
    <x v="25"/>
    <x v="25"/>
    <s v="['Pixel Graphics', 'Dungeon Crawler', 'Local Multiplayer', '4 Player Local', 'Action Roguelike', 'Indie', 'Local Co-Op', 'Action', 'Multiplayer', 'Roguelike', 'RPG', 'Lovecraftian', '2D', 'Great Soundtrack', 'Co-op', 'Fantasy', 'Gore', 'Singleplayer', 'Horror', 'Arcade']"/>
  </r>
  <r>
    <x v="91"/>
    <n v="268910"/>
    <s v="Y"/>
    <n v="0"/>
    <x v="53"/>
    <x v="3"/>
    <d v="2017-09-29T00:00:00"/>
    <x v="90"/>
    <s v="Studio MDHR Entertainment Inc."/>
    <n v="41"/>
    <n v="1100"/>
    <x v="71"/>
    <n v="594"/>
    <n v="1848"/>
    <x v="3"/>
    <x v="3"/>
    <s v="['Difficult', 'Cartoon', 'Co-op', 'Platformer', 'Local Co-Op', 'Great Soundtrack', 'Multiplayer', '2D', 'Indie', 'Hand-drawn', 'Cartoony', 'Bullet Hell', 'Retro', 'Action', &quot;Shoot 'Em Up&quot;, 'Singleplayer', 'Side Scroller', 'Souls-like', 'Colorful', 'Funny']"/>
  </r>
  <r>
    <x v="92"/>
    <n v="413410"/>
    <s v="Y"/>
    <n v="12"/>
    <x v="28"/>
    <x v="3"/>
    <d v="2016-02-18T00:00:00"/>
    <x v="91"/>
    <s v="Spike Chunsoft Co., Ltd."/>
    <n v="44"/>
    <n v="1500"/>
    <x v="72"/>
    <n v="386"/>
    <n v="2803"/>
    <x v="23"/>
    <x v="23"/>
    <s v="['Visual Novel', 'Anime', 'Detective', 'Mystery', 'Story Rich', 'Great Soundtrack', 'Singleplayer', 'Psychological Horror', 'Horror', 'Adventure', 'Dark Comedy', 'Dark Humor', 'Puzzle', 'Point &amp; Click', 'Funny', 'Exploration', 'Comedy', 'Survival', 'Action', 'Memes']"/>
  </r>
  <r>
    <x v="93"/>
    <n v="3830"/>
    <s v="Y"/>
    <n v="0"/>
    <x v="5"/>
    <x v="3"/>
    <d v="2005-04-19T00:00:00"/>
    <x v="92"/>
    <s v="Double Fine Productions"/>
    <n v="169"/>
    <n v="754"/>
    <x v="73"/>
    <n v="422"/>
    <n v="1332"/>
    <x v="44"/>
    <x v="44"/>
    <s v="['Platformer', 'Comedy', 'Adventure', 'Singleplayer', 'Action', 'Funny', '3D Platformer', 'Third Person', 'Classic', 'Story Rich', 'Psychological', 'Great Soundtrack', 'Surreal', 'Cartoony', 'Collectathon', 'Exploration', 'Action-Adventure', '3D', 'Indie', 'Psychedelic']"/>
  </r>
  <r>
    <x v="94"/>
    <n v="219150"/>
    <s v="Y"/>
    <n v="0"/>
    <x v="6"/>
    <x v="3"/>
    <d v="2012-10-23T00:00:00"/>
    <x v="93"/>
    <s v="Devolver Digital"/>
    <n v="116"/>
    <n v="2300"/>
    <x v="74"/>
    <n v="537"/>
    <n v="953"/>
    <x v="37"/>
    <x v="37"/>
    <s v="['Great Soundtrack', 'Violent', 'Action', 'Indie', 'Pixel Graphics', 'Top-Down', 'Gore', '1980s', 'Fast-Paced', 'Retro', 'Psychedelic', 'Difficult', 'Singleplayer', 'Surreal', 'Top-Down Shooter', '2D', 'Shooter', 'Addictive', 'Atmospheric', 'Music']"/>
  </r>
  <r>
    <x v="95"/>
    <n v="504230"/>
    <s v="Y"/>
    <n v="0"/>
    <x v="54"/>
    <x v="3"/>
    <d v="2018-01-25T00:00:00"/>
    <x v="94"/>
    <s v="Maddy Makes Games Inc."/>
    <n v="35"/>
    <n v="3500"/>
    <x v="75"/>
    <n v="913"/>
    <n v="2425"/>
    <x v="0"/>
    <x v="0"/>
    <s v="['Precision Platformer', 'Difficult', 'Great Soundtrack', 'Pixel Graphics', 'Indie', 'Platformer', '2D Platformer', 'Female Protagonist', 'Singleplayer', '2D', 'Story Rich', 'Adventure', 'Cute', 'Puzzle Platformer', 'LGBTQ+', 'Atmospheric', 'Action', 'Side Scroller', 'Retro', 'Exploration']"/>
  </r>
  <r>
    <x v="96"/>
    <n v="557340"/>
    <s v="Y"/>
    <n v="0"/>
    <x v="31"/>
    <x v="3"/>
    <d v="2019-06-20T00:00:00"/>
    <x v="95"/>
    <s v="Devolver Digital"/>
    <n v="151"/>
    <n v="973"/>
    <x v="76"/>
    <n v="60"/>
    <n v="610"/>
    <x v="28"/>
    <x v="28"/>
    <s v="['Action', 'Indie', 'Shooter', 'Gore', 'Parkour', 'Bullet Time', 'Violent', 'Great Soundtrack', 'Singleplayer', 'Side Scroller', 'Platformer', 'Fast-Paced', 'Funny', 'Comedy', '2D', '2.5D', 'Physics', 'Controller', 'Multiplayer', 'Difficult']"/>
  </r>
  <r>
    <x v="97"/>
    <n v="2982610"/>
    <s v="Y"/>
    <n v="8"/>
    <x v="31"/>
    <x v="3"/>
    <d v="2026-05-26T00:00:00"/>
    <x v="96"/>
    <s v="Crossfall Games"/>
    <n v="200"/>
    <n v="4"/>
    <x v="77"/>
    <n v="1"/>
    <n v="1105"/>
    <x v="45"/>
    <x v="45"/>
    <s v="['Souls-like', 'Hack and Slash', 'Atmospheric', 'Spectacle fighter', 'God Game', 'Mythology', 'Surreal', 'Medieval', 'Dark', 'Swordplay', '3D', 'Fantasy', 'Controller', 'Mystery Dungeon', 'Hidden Object', 'Action', 'Exploration', 'Adventure', 'Action-Adventure', 'Singleplayer']"/>
  </r>
  <r>
    <x v="98"/>
    <n v="4000"/>
    <s v="Y"/>
    <n v="4"/>
    <x v="32"/>
    <x v="3"/>
    <d v="2006-11-29T00:00:00"/>
    <x v="97"/>
    <s v="Valve"/>
    <n v="98"/>
    <n v="77"/>
    <x v="78"/>
    <n v="22"/>
    <n v="41525"/>
    <x v="46"/>
    <x v="46"/>
    <s v="['Sandbox', 'Moddable', 'Multiplayer', 'Physics', 'Building', 'Casual', 'Funny', 'First-Person', 'Singleplayer', 'FPS', 'Simulation', 'Comedy', 'Shooter', 'Online Co-Op', 'Co-op', 'Action', 'Indie', 'PvP', 'Realistic', 'Exploration']"/>
  </r>
  <r>
    <x v="99"/>
    <n v="460950"/>
    <s v="Y"/>
    <n v="12"/>
    <x v="33"/>
    <x v="3"/>
    <d v="2019-04-18T00:00:00"/>
    <x v="98"/>
    <s v="Devolver Digital"/>
    <n v="123"/>
    <n v="1500"/>
    <x v="79"/>
    <n v="173"/>
    <n v="945"/>
    <x v="28"/>
    <x v="28"/>
    <s v="['Pixel Graphics', 'Action', 'Great Soundtrack', 'Story Rich', 'Platformer', 'Cyberpunk', '2D Platformer', 'Indie', 'Hack and Slash', '2D', 'Fast-Paced', 'Violent', 'Difficult', 'Singleplayer', 'Time Manipulation', 'Gore', 'Ninja', 'Retro', 'Noir', 'Sci-fi']"/>
  </r>
  <r>
    <x v="100"/>
    <n v="92800"/>
    <s v="Y"/>
    <n v="0"/>
    <x v="55"/>
    <x v="3"/>
    <d v="2011-03-02T00:00:00"/>
    <x v="99"/>
    <s v="Zachtronics"/>
    <n v="195"/>
    <n v="17"/>
    <x v="80"/>
    <n v="20"/>
    <n v="4358"/>
    <x v="47"/>
    <x v="47"/>
    <s v="['Puzzle', 'Difficult', 'Programming', 'Indie', 'Logic', 'Singleplayer', 'Automation', 'Sci-fi', 'Great Soundtrack', 'Science', '2D', 'Space', 'Simulation', 'Casual', 'Education', 'Addictive', 'Strategy', 'Touch-Friendly', 'Building']"/>
  </r>
  <r>
    <x v="101"/>
    <n v="397460"/>
    <s v="Y"/>
    <n v="3"/>
    <x v="55"/>
    <x v="3"/>
    <d v="2015-10-13T00:00:00"/>
    <x v="100"/>
    <s v="Jackbox Games, Inc."/>
    <n v="214"/>
    <m/>
    <x v="0"/>
    <m/>
    <m/>
    <x v="21"/>
    <x v="21"/>
    <s v="['Trivia', 'Local Multiplayer', 'Casual', 'Comedy', 'Indie', 'Strategy', 'Party', 'Multiplayer', 'Funny', 'Party Game', 'Local Co-Op', 'Board Game', 'Co-op', 'Family Friendly', '4 Player Local']"/>
  </r>
  <r>
    <x v="102"/>
    <n v="70300"/>
    <s v="Y"/>
    <n v="0"/>
    <x v="56"/>
    <x v="3"/>
    <d v="2010-09-07T00:00:00"/>
    <x v="101"/>
    <s v="Terry Cavanagh"/>
    <n v="235"/>
    <n v="749"/>
    <x v="32"/>
    <n v="119"/>
    <n v="320"/>
    <x v="48"/>
    <x v="48"/>
    <s v="['Pixel Graphics', 'Precision Platformer', 'Platformer', 'Indie', '2D Platformer', 'Great Soundtrack', 'Difficult', 'Retro', '2D', 'Singleplayer', 'Exploration', 'Action', 'Sci-fi', 'Adventure', 'Short', 'Minimalist', 'Metroidvania', 'Puzzle', 'Open World', 'Space']"/>
  </r>
  <r>
    <x v="103"/>
    <n v="312530"/>
    <s v="Y"/>
    <n v="0"/>
    <x v="35"/>
    <x v="3"/>
    <d v="2015-06-04T00:00:00"/>
    <x v="102"/>
    <s v="CORPTRON GAMES CORP."/>
    <n v="76"/>
    <n v="14"/>
    <x v="81"/>
    <n v="7"/>
    <n v="8611"/>
    <x v="30"/>
    <x v="30"/>
    <s v="['Multiplayer', 'Funny', 'Local Multiplayer', 'Pixel Graphics', 'Action', '2D', '4 Player Local', 'Platformer', 'Indie', 'Fast-Paced', 'Shooter', 'Comedy', 'Competitive', 'Retro', 'Local Co-Op', 'Great Soundtrack', 'Co-op', 'Memes', 'Casual', '1980s']"/>
  </r>
  <r>
    <x v="104"/>
    <n v="683320"/>
    <s v="Y"/>
    <n v="8"/>
    <x v="9"/>
    <x v="3"/>
    <d v="2018-12-13T00:00:00"/>
    <x v="103"/>
    <s v="Devolver Digital"/>
    <n v="102"/>
    <n v="2500"/>
    <x v="82"/>
    <n v="766"/>
    <n v="398"/>
    <x v="27"/>
    <x v="27"/>
    <s v="['Beautiful', 'Atmospheric', 'Great Soundtrack', 'Indie', 'Female Protagonist', 'Adventure', 'Hand-drawn', 'Platformer', 'Singleplayer', 'Relaxing', '2D', 'Story Rich', 'Puzzle', 'Colorful', 'Puzzle Platformer', 'Surreal', 'Casual', 'Exploration', 'Walking Simulator', 'Anime']"/>
  </r>
  <r>
    <x v="105"/>
    <n v="431960"/>
    <s v="Y"/>
    <n v="0"/>
    <x v="9"/>
    <x v="3"/>
    <d v="2018-11-16T00:00:00"/>
    <x v="104"/>
    <s v="Wallpaper Engine Team"/>
    <m/>
    <m/>
    <x v="0"/>
    <m/>
    <m/>
    <x v="27"/>
    <x v="27"/>
    <s v="['Utilities', 'Anime', 'Software', 'Design &amp; Illustration', 'Animation &amp; Modeling', 'First-Person', 'Indie', 'Cute', 'Memes', 'Action', 'Singleplayer', 'Funny', 'Early Access', 'Photo Editing', 'Sandbox', 'Gaming', 'Horror', 'Game Development', 'Souls-like', 'Multiplayer']"/>
  </r>
  <r>
    <x v="106"/>
    <n v="716490"/>
    <s v="Y"/>
    <n v="0"/>
    <x v="57"/>
    <x v="3"/>
    <d v="2018-10-22T00:00:00"/>
    <x v="105"/>
    <s v="Zachtronics"/>
    <n v="83"/>
    <n v="20"/>
    <x v="83"/>
    <n v="5"/>
    <n v="1771"/>
    <x v="27"/>
    <x v="27"/>
    <s v="['Programming', 'Puzzle', 'Hacking', 'Automation', 'Indie', 'Simulation', 'Logic', 'Cyberpunk', 'Singleplayer', 'Difficult', 'Great Soundtrack', 'Sandbox']"/>
  </r>
  <r>
    <x v="107"/>
    <n v="400"/>
    <s v="Y"/>
    <n v="0"/>
    <x v="10"/>
    <x v="3"/>
    <d v="2007-10-10T00:00:00"/>
    <x v="106"/>
    <s v="Valve"/>
    <n v="167"/>
    <n v="8100"/>
    <x v="42"/>
    <n v="1100"/>
    <n v="655"/>
    <x v="49"/>
    <x v="49"/>
    <s v="['Puzzle', 'Puzzle Platformer', 'First-Person', '3D Platformer', 'Singleplayer', 'Sci-fi', 'Comedy', 'Female Protagonist', 'Physics', 'Funny', 'Action', 'Classic', 'Story Rich', 'Platformer', 'Science', 'Atmospheric', 'Dark Humor', 'Short', 'FPS', 'Adventure']"/>
  </r>
  <r>
    <x v="108"/>
    <n v="572890"/>
    <s v="Y"/>
    <n v="0"/>
    <x v="58"/>
    <x v="3"/>
    <d v="2019-01-24T00:00:00"/>
    <x v="107"/>
    <s v="Devolver Digital"/>
    <n v="164"/>
    <n v="361"/>
    <x v="84"/>
    <n v="102"/>
    <n v="421"/>
    <x v="33"/>
    <x v="33"/>
    <s v="['Indie', 'Casual', 'Adventure', 'Puzzle', 'Multiplayer', 'Cute', 'Co-op', 'Funny', 'Action', '2D', 'Platformer', 'Family Friendly', 'Local Co-Op', 'Great Soundtrack', 'Comedy', 'Colorful', 'Puzzle Platformer', 'Singleplayer', 'Dystopian', 'Exploration']"/>
  </r>
  <r>
    <x v="109"/>
    <n v="1289310"/>
    <s v="Y"/>
    <n v="7"/>
    <x v="36"/>
    <x v="3"/>
    <d v="2020-05-11T00:00:00"/>
    <x v="108"/>
    <s v="vanripper"/>
    <m/>
    <m/>
    <x v="0"/>
    <m/>
    <m/>
    <x v="40"/>
    <x v="40"/>
    <s v="['Free to Play', 'Cute', 'Puzzle', 'Demons', 'Indie', 'Great Soundtrack', 'Anime', 'Singleplayer', 'Sexual Content', '2D', 'Short', 'Comedy', 'Difficult', 'Adventure', 'Dating Sim', 'Funny', 'Hentai', 'Rhythm', 'Visual Novel', 'Nudity']"/>
  </r>
  <r>
    <x v="110"/>
    <n v="558990"/>
    <s v="Y"/>
    <n v="0"/>
    <x v="59"/>
    <x v="3"/>
    <d v="2017-12-07T00:00:00"/>
    <x v="109"/>
    <s v="Zachtronics"/>
    <n v="159"/>
    <n v="75"/>
    <x v="85"/>
    <n v="24"/>
    <n v="2948"/>
    <x v="2"/>
    <x v="2"/>
    <s v="['Puzzle', 'Programming', 'Automation', 'Indie', 'Simulation', 'Logic', 'Singleplayer', 'Steampunk', 'Great Soundtrack', 'Difficult', 'Building', '2D', 'Sandbox', 'Hex Grid', 'Casual']"/>
  </r>
  <r>
    <x v="111"/>
    <n v="221640"/>
    <s v="Y"/>
    <n v="0"/>
    <x v="59"/>
    <x v="3"/>
    <d v="2012-11-27T00:00:00"/>
    <x v="110"/>
    <s v="Terry Cavanagh"/>
    <n v="204"/>
    <n v="87"/>
    <x v="86"/>
    <n v="129"/>
    <n v="1158"/>
    <x v="37"/>
    <x v="37"/>
    <s v="['Difficult', 'Great Soundtrack', 'Indie', 'Fast-Paced', 'Arcade', 'Addictive', 'Rhythm', 'Singleplayer', 'Minimalist', 'Action', 'Score Attack', 'Music', '2D', 'Psychedelic', 'Colorful', 'Casual', 'Replay Value', 'Controller', 'Puzzle', 'Soundtrack']"/>
  </r>
  <r>
    <x v="112"/>
    <n v="316610"/>
    <s v="Y"/>
    <n v="0"/>
    <x v="60"/>
    <x v="3"/>
    <d v="2015-02-25T00:00:00"/>
    <x v="111"/>
    <s v="Draknek &amp; Friends"/>
    <n v="4"/>
    <n v="111"/>
    <x v="87"/>
    <n v="74"/>
    <n v="260"/>
    <x v="24"/>
    <x v="24"/>
    <s v="['Cute', 'Puzzle', 'Sokoban', 'Relaxing', 'Open World', 'Difficult', 'Exploration', 'Strategy', 'Isometric', 'Post-apocalyptic', 'Surreal', 'Casual', 'Abstract', 'Cartoony', 'Minimalist', 'Colorful', 'Stylized', 'Family Friendly', 'Great Soundtrack', 'Atmospheric']"/>
  </r>
  <r>
    <x v="113"/>
    <n v="1349230"/>
    <s v="N"/>
    <m/>
    <x v="14"/>
    <x v="3"/>
    <d v="2020-07-22T00:00:00"/>
    <x v="112"/>
    <s v="Conor Petersen"/>
    <n v="2"/>
    <n v="11"/>
    <x v="88"/>
    <n v="1"/>
    <n v="7620"/>
    <x v="34"/>
    <x v="34"/>
    <s v="['Chess', 'Time Travel', 'Time Manipulation', 'Board Game', 'Difficult', 'Puzzle', 'Multiplayer', 'Turn-Based Strategy', 'Strategy', 'Psychological', 'Turn-Based Tactics', 'Singleplayer', 'PvP', 'Indie', 'Artificial Intelligence', 'Psychedelic', 'Violent', 'Sci-fi', 'Colorful', 'Story Rich']"/>
  </r>
  <r>
    <x v="114"/>
    <n v="6910"/>
    <s v="N"/>
    <m/>
    <x v="14"/>
    <x v="3"/>
    <d v="2000-06-22T00:00:00"/>
    <x v="113"/>
    <s v="Eidos Interactive Corp."/>
    <m/>
    <m/>
    <x v="0"/>
    <m/>
    <m/>
    <x v="50"/>
    <x v="50"/>
    <s v="['Cyberpunk', 'RPG', 'Stealth', 'Immersive Sim', 'Classic', 'FPS', 'Sci-fi', 'Action', 'Singleplayer', 'Dystopian', 'Story Rich', 'Great Soundtrack', 'Inventory Management', 'First-Person', 'Conspiracy', 'Atmospheric', 'Moddable', 'Action RPG', 'Shooter', 'Adventure']"/>
  </r>
  <r>
    <x v="115"/>
    <n v="698780"/>
    <s v="N"/>
    <m/>
    <x v="14"/>
    <x v="3"/>
    <d v="2017-09-22T00:00:00"/>
    <x v="114"/>
    <s v="Team Salvato"/>
    <m/>
    <m/>
    <x v="0"/>
    <m/>
    <m/>
    <x v="3"/>
    <x v="3"/>
    <s v="['Psychological Horror', 'Visual Novel', 'Anime', 'Free to Play', 'Dating Sim', 'Cute', 'Horror', 'Dark', 'Story Rich', 'Romance', 'Singleplayer', 'Great Soundtrack', 'Gore', 'Violent', 'Sexual Content', 'Indie', 'First-Person', 'Memes', 'Casual', 'Adventure']"/>
  </r>
  <r>
    <x v="116"/>
    <n v="219740"/>
    <s v="N"/>
    <m/>
    <x v="14"/>
    <x v="3"/>
    <d v="2013-04-23T00:00:00"/>
    <x v="115"/>
    <s v="Klei Entertainment"/>
    <n v="70"/>
    <n v="45"/>
    <x v="89"/>
    <n v="11"/>
    <n v="10930"/>
    <x v="22"/>
    <x v="22"/>
    <s v="['Survival', 'Open World Survival Craft', 'Crafting', 'Adventure', 'Indie', 'Sandbox', 'Singleplayer', 'Perma Death', 'Multiplayer', 'Open World', 'Exploration', 'Roguelike', 'Replay Value', 'Moddable', 'Difficult', 'Simulation', '2D', 'Top-Down', 'Survival Horror', 'Horror']"/>
  </r>
  <r>
    <x v="117"/>
    <n v="322330"/>
    <s v="N"/>
    <m/>
    <x v="14"/>
    <x v="3"/>
    <d v="2016-04-21T00:00:00"/>
    <x v="116"/>
    <s v="Klei Entertainment"/>
    <n v="71"/>
    <n v="29"/>
    <x v="66"/>
    <n v="9"/>
    <n v="12529"/>
    <x v="29"/>
    <x v="29"/>
    <s v="['Survival', 'Open World Survival Craft', 'Multiplayer', 'Co-op', 'Open World', 'Adventure', 'Crafting', 'Online Co-Op', 'Sandbox', 'Difficult', 'Indie', '2D', 'Atmospheric', 'Survival Horror', 'Funny', 'Strategy', 'Horror', 'Singleplayer', 'Action', 'Roguelike']"/>
  </r>
  <r>
    <x v="118"/>
    <n v="38400"/>
    <s v="N"/>
    <m/>
    <x v="14"/>
    <x v="3"/>
    <d v="1997-09-30T00:00:00"/>
    <x v="117"/>
    <s v="Bethesda Softworks"/>
    <n v="85"/>
    <n v="276"/>
    <x v="90"/>
    <n v="123"/>
    <n v="1928"/>
    <x v="51"/>
    <x v="51"/>
    <s v="['RPG', 'Post-apocalyptic', 'Classic', 'Open World', 'Isometric', 'Turn-Based', 'Turn-Based Combat', 'Singleplayer', 'Sci-fi', 'Atmospheric', 'Multiple Endings', 'CRPG', &quot;1990's&quot;, 'Retro', 'Adventure', 'Exploration', '2D', 'Difficult', 'Tactical', 'Sandbox']"/>
  </r>
  <r>
    <x v="119"/>
    <n v="1966720"/>
    <s v="N"/>
    <m/>
    <x v="14"/>
    <x v="3"/>
    <d v="2023-10-23T00:00:00"/>
    <x v="118"/>
    <s v="Zeekerss"/>
    <n v="128"/>
    <n v="54"/>
    <x v="91"/>
    <n v="16"/>
    <n v="2493"/>
    <x v="52"/>
    <x v="52"/>
    <s v="['Online Co-Op', 'Horror', 'First-Person', 'Co-op', 'Survival Horror', 'Funny', 'Exploration', 'Psychological Horror', 'Sci-fi', 'PvE', 'Atmospheric', 'Procedural Generation', 'Aliens', 'Time Management', 'Adventure', 'Dungeon Crawler', 'Action', 'Early Access', 'Action-Adventure', 'Perma Death']"/>
  </r>
  <r>
    <x v="120"/>
    <n v="1281930"/>
    <s v="N"/>
    <m/>
    <x v="14"/>
    <x v="3"/>
    <d v="2020-05-16T00:00:00"/>
    <x v="119"/>
    <s v="Re-Logic"/>
    <m/>
    <m/>
    <x v="0"/>
    <m/>
    <m/>
    <x v="40"/>
    <x v="40"/>
    <s v="['Adventure', 'Free to Play', 'Action', 'Indie', 'RPG', 'Mod', 'Sandbox', 'Moddable', 'Multiplayer', '2D', 'Pixel Graphics', 'Building', 'Survival', 'Online Co-Op', 'Singleplayer', 'Great Soundtrack', 'Replay Value', 'Co-op', 'Difficult', 'Open World Survival Craft']"/>
  </r>
  <r>
    <x v="121"/>
    <n v="391540"/>
    <s v="N"/>
    <m/>
    <x v="14"/>
    <x v="3"/>
    <d v="2015-09-15T00:00:00"/>
    <x v="120"/>
    <s v="tobyfox"/>
    <n v="231"/>
    <n v="2600"/>
    <x v="92"/>
    <n v="891"/>
    <n v="1284"/>
    <x v="8"/>
    <x v="8"/>
    <s v="['Great Soundtrack', 'Story Rich', 'Choices Matter', 'Multiple Endings', 'Pixel Graphics', 'Funny', 'RPG', 'Singleplayer', 'Indie', '2D', 'Comedy', 'Replay Value', 'Bullet Hell', 'Cute', 'Memes', 'Retro', 'Dark', 'Psychological Horror', 'Dating Sim', 'Horror']"/>
  </r>
  <r>
    <x v="122"/>
    <n v="848930"/>
    <s v="Y"/>
    <n v="0"/>
    <x v="55"/>
    <x v="4"/>
    <d v="2018-07-26T00:00:00"/>
    <x v="121"/>
    <s v="Studio Stobie"/>
    <m/>
    <m/>
    <x v="0"/>
    <m/>
    <m/>
    <x v="9"/>
    <x v="9"/>
    <s v="['Indie', 'Platformer', 'Puzzle Platformer', 'Female Protagonist', 'Pixel Graphics', 'Cute']"/>
  </r>
  <r>
    <x v="123"/>
    <n v="698790"/>
    <s v="Y"/>
    <n v="0"/>
    <x v="35"/>
    <x v="4"/>
    <d v="2018-09-19T00:00:00"/>
    <x v="122"/>
    <s v="Ultimerse"/>
    <n v="162"/>
    <m/>
    <x v="0"/>
    <m/>
    <m/>
    <x v="9"/>
    <x v="9"/>
    <s v="['VR', 'Action', 'Adventure', 'Casual', 'Simulation', 'Indie', 'Funny', 'Comedy', 'Cartoon', 'First-Person', 'Colorful', '6DOF', 'Family Friendly', 'Arcade', 'Singleplayer', '3D', 'Satire', &quot;Shoot 'Em Up&quot;]"/>
  </r>
  <r>
    <x v="124"/>
    <n v="2068520"/>
    <s v="N"/>
    <m/>
    <x v="14"/>
    <x v="4"/>
    <d v="2024-05-02T00:00:00"/>
    <x v="123"/>
    <s v="Petriheart"/>
    <m/>
    <m/>
    <x v="0"/>
    <m/>
    <m/>
    <x v="53"/>
    <x v="53"/>
    <s v="['Precision Platformer', 'Funny', 'Platformer', '2D Platformer', 'Casual', '2D', 'Strategy', 'Surreal', 'Side Scroller', 'Colorful', 'Hand-drawn', 'Stylized', 'Atmospheric', 'Emotional', 'Dystopian', 'Dark Fantasy', 'Lovecraftian', 'Psychedelic', 'Psychological', 'Dark']"/>
  </r>
  <r>
    <x v="125"/>
    <n v="231430"/>
    <s v="Y"/>
    <n v="0"/>
    <x v="61"/>
    <x v="5"/>
    <d v="2013-06-25T00:00:00"/>
    <x v="124"/>
    <s v="Relic Entertainment"/>
    <n v="36"/>
    <n v="105"/>
    <x v="93"/>
    <n v="8"/>
    <n v="3781"/>
    <x v="22"/>
    <x v="22"/>
    <s v="['Strategy', 'World War II', 'RTS', 'Multiplayer', 'Tactical', 'War', 'Historical', 'Military', 'Singleplayer', 'Co-op', 'Online Co-Op', 'Base Building', 'Tanks', 'Real-Time', 'Action', 'Real-Time with Pause', 'Atmospheric', 'Simulation', 'Great Soundtrack', 'Adventure']"/>
  </r>
  <r>
    <x v="126"/>
    <n v="236850"/>
    <s v="Y"/>
    <n v="167"/>
    <x v="62"/>
    <x v="5"/>
    <d v="2013-08-13T00:00:00"/>
    <x v="125"/>
    <s v="Paradox Interactive"/>
    <n v="82"/>
    <n v="61"/>
    <x v="94"/>
    <n v="27"/>
    <n v="111124"/>
    <x v="17"/>
    <x v="17"/>
    <s v="['Grand Strategy', 'Strategy', 'Historical', 'Simulation', '4X', 'Alternate History', 'Wargame', 'Military', 'Diplomacy', 'Economy', 'Replay Value', 'Sandbox', 'Political', 'Real-Time with Pause', 'Moddable', 'Nonlinear', 'Co-op', 'Singleplayer', 'Management', 'Multiplayer']"/>
  </r>
  <r>
    <x v="127"/>
    <n v="232090"/>
    <s v="Y"/>
    <n v="0"/>
    <x v="63"/>
    <x v="5"/>
    <d v="2016-11-18T00:00:00"/>
    <x v="126"/>
    <s v="Tripwire Interactive"/>
    <n v="124"/>
    <n v="41"/>
    <x v="95"/>
    <n v="42"/>
    <n v="9574"/>
    <x v="54"/>
    <x v="54"/>
    <s v="['Gore', 'Zombies', 'Multiplayer', 'Online Co-Op', 'FPS', 'Post-apocalyptic', 'Hack and Slash', 'Shooter', 'Horror', 'Action', 'Moddable', 'Survival', 'First-Person', 'Co-op', 'Team-Based', 'Survival Horror', 'Atmospheric', 'PvE', 'Character Customization', 'Dark']"/>
  </r>
  <r>
    <x v="128"/>
    <n v="394360"/>
    <s v="Y"/>
    <n v="0"/>
    <x v="64"/>
    <x v="5"/>
    <d v="2016-06-06T00:00:00"/>
    <x v="127"/>
    <s v="Paradox Interactive"/>
    <n v="110"/>
    <n v="53"/>
    <x v="96"/>
    <n v="25"/>
    <n v="79009"/>
    <x v="29"/>
    <x v="29"/>
    <s v="['Strategy', 'World War II', 'Grand Strategy', 'War', 'Historical', 'Military', 'Alternate History', 'Multiplayer', 'Simulation', 'Tactical', 'Singleplayer', 'RTS', 'Real-Time with Pause', 'Diplomacy', 'Sandbox', 'Co-op', 'Strategy RPG', 'Open World', 'Competitive', 'Action']"/>
  </r>
  <r>
    <x v="129"/>
    <n v="573410"/>
    <s v="Y"/>
    <n v="0"/>
    <x v="65"/>
    <x v="5"/>
    <d v="2019-10-22T00:00:00"/>
    <x v="128"/>
    <s v="Arcen Games"/>
    <n v="11"/>
    <n v="5"/>
    <x v="97"/>
    <n v="1"/>
    <n v="30000"/>
    <x v="55"/>
    <x v="55"/>
    <s v="['4X', 'Grand Strategy', 'Multiplayer', 'Co-op', 'Tower Defense', 'RTS', 'Real Time Tactics', 'Economy', 'Management', 'Military', 'Sci-fi', 'Space', 'War', 'Real-Time', 'Sandbox', 'Strategy', 'Simulation', 'Online Co-Op', 'Tactical', 'Moddable']"/>
  </r>
  <r>
    <x v="130"/>
    <n v="281990"/>
    <s v="Y"/>
    <n v="0"/>
    <x v="66"/>
    <x v="5"/>
    <d v="2016-05-09T00:00:00"/>
    <x v="129"/>
    <s v="Paradox Interactive"/>
    <n v="198"/>
    <n v="59"/>
    <x v="98"/>
    <n v="16"/>
    <n v="31708"/>
    <x v="29"/>
    <x v="29"/>
    <s v="['Space', 'Strategy', 'Grand Strategy', 'Sci-fi', '4X', 'Exploration', 'Sandbox', 'Simulation', 'Multiplayer', 'Real-Time with Pause', 'Singleplayer', 'Moddable', 'Management', 'Diplomacy', 'Military', 'Futuristic', 'Replay Value', 'Great Soundtrack', 'Procedural Generation', 'Atmospheric']"/>
  </r>
  <r>
    <x v="131"/>
    <n v="563560"/>
    <s v="Y"/>
    <n v="21"/>
    <x v="67"/>
    <x v="5"/>
    <d v="2017-04-20T00:00:00"/>
    <x v="130"/>
    <s v="Reactive Drop Team"/>
    <m/>
    <m/>
    <x v="0"/>
    <m/>
    <m/>
    <x v="25"/>
    <x v="25"/>
    <s v="['Twin Stick Shooter', 'PvE', 'Co-op', 'Top-Down Shooter', 'Class-Based', 'Third-Person Shooter', 'Aliens', 'Level Editor', 'Hacking', 'PvP', 'Third Person', 'Shooter', 'Moddable', 'Top-Down', 'First-Person', 'Sci-fi', 'Combat', 'Tactical', 'LGBTQ+', 'Free to Play']"/>
  </r>
  <r>
    <x v="132"/>
    <n v="230410"/>
    <s v="Y"/>
    <n v="189"/>
    <x v="68"/>
    <x v="5"/>
    <d v="2013-03-25T00:00:00"/>
    <x v="131"/>
    <s v="Digital Extremes"/>
    <m/>
    <m/>
    <x v="0"/>
    <m/>
    <m/>
    <x v="6"/>
    <x v="6"/>
    <s v="['Free to Play', 'Looter Shooter', 'Action RPG', 'Third-Person Shooter', 'Action', 'RPG', 'Third Person', 'Massively Multiplayer', 'Online Co-Op', 'Character Customization', 'Co-op', 'PvE', 'Sci-fi', 'Singleplayer', 'Space', 'Lore-Rich', 'Shooter', 'Hack and Slash', 'Parkour', 'Ninja']"/>
  </r>
  <r>
    <x v="133"/>
    <n v="1158310"/>
    <s v="Y"/>
    <n v="0"/>
    <x v="69"/>
    <x v="5"/>
    <d v="2020-09-01T00:00:00"/>
    <x v="132"/>
    <s v="Paradox Interactive"/>
    <n v="39"/>
    <n v="53"/>
    <x v="99"/>
    <n v="9"/>
    <n v="46384"/>
    <x v="34"/>
    <x v="34"/>
    <s v="['Strategy', 'Medieval', 'Grand Strategy', 'Simulation', 'RPG', 'Historical', 'Management', 'Character Customization', 'Life Sim', 'Sandbox', 'Choices Matter', 'RTS', 'War', 'Singleplayer', 'Economy', 'Political', 'Multiplayer', 'Moddable', '4X', 'Real-Time with Pause']"/>
  </r>
  <r>
    <x v="134"/>
    <n v="203770"/>
    <s v="Y"/>
    <n v="1"/>
    <x v="70"/>
    <x v="5"/>
    <d v="2012-02-14T00:00:00"/>
    <x v="133"/>
    <s v="Paradox Interactive"/>
    <m/>
    <m/>
    <x v="0"/>
    <m/>
    <m/>
    <x v="56"/>
    <x v="56"/>
    <s v="['Grand Strategy', 'Strategy', 'Medieval', 'Historical', 'Political Sim', 'Simulation', 'RPG', 'Sandbox', 'Multiplayer', 'Politics', 'Diplomacy', 'Singleplayer', 'Replay Value', 'Real-Time with Pause', 'Moddable', 'Free to Play', 'Political', 'Character Customization', 'RTS', 'Great Soundtrack']"/>
  </r>
  <r>
    <x v="135"/>
    <n v="863550"/>
    <s v="Y"/>
    <n v="0"/>
    <x v="71"/>
    <x v="5"/>
    <d v="2018-11-13T00:00:00"/>
    <x v="134"/>
    <s v="IO Interactive A/S"/>
    <n v="113"/>
    <n v="622"/>
    <x v="100"/>
    <n v="71"/>
    <n v="8034"/>
    <x v="27"/>
    <x v="27"/>
    <s v="['Stealth', 'Assassins', 'Action', 'Singleplayer', 'Third Person', 'Multiplayer', 'Violent', 'Open World', 'Sandbox', 'Strategy', 'Gore', 'Puzzle', 'Shooter', 'Atmospheric', 'Third-Person Shooter', 'Co-op', 'Funny', 'Online Co-Op', 'Great Soundtrack', 'Nudity']"/>
  </r>
  <r>
    <x v="136"/>
    <n v="262060"/>
    <s v="Y"/>
    <n v="0"/>
    <x v="72"/>
    <x v="5"/>
    <d v="2016-01-19T00:00:00"/>
    <x v="135"/>
    <s v="Red Hook Studios"/>
    <m/>
    <m/>
    <x v="0"/>
    <m/>
    <m/>
    <x v="23"/>
    <x v="23"/>
    <s v="['Turn-Based Combat', 'Dungeon Crawler', 'Dark Fantasy', 'Roguelike', 'RPG', 'Lovecraftian', 'Difficult', 'Turn-Based', 'Singleplayer', 'Perma Death', 'Strategy', 'Atmospheric', 'Dark', 'Indie', '2D', 'Roguelite', 'Horror', 'Gothic', 'Fantasy', 'Great Soundtrack']"/>
  </r>
  <r>
    <x v="137"/>
    <n v="34330"/>
    <s v="Y"/>
    <n v="1"/>
    <x v="73"/>
    <x v="5"/>
    <m/>
    <x v="136"/>
    <s v="SEGA"/>
    <n v="227"/>
    <n v="87"/>
    <x v="101"/>
    <n v="13"/>
    <n v="12977"/>
    <x v="57"/>
    <x v="57"/>
    <s v="['Strategy', 'Historical', 'Turn-Based Strategy', 'RTS', 'Grand Strategy', 'Tactical', 'Singleplayer', 'Multiplayer', 'Samurai', 'Real Time Tactics', 'Military', 'Diplomacy', 'Ninja', 'Co-op', 'Turn-Based', 'Medieval', 'Great Soundtrack', 'Moddable', 'Turn-Based Tactics', 'Action']"/>
  </r>
  <r>
    <x v="138"/>
    <n v="900270"/>
    <s v="Y"/>
    <n v="0"/>
    <x v="42"/>
    <x v="5"/>
    <d v="2019-06-04T00:00:00"/>
    <x v="137"/>
    <s v="Pixelatto"/>
    <n v="179"/>
    <n v="44"/>
    <x v="102"/>
    <n v="155"/>
    <n v="763"/>
    <x v="28"/>
    <x v="28"/>
    <s v="['Adventure', 'Indie', 'Pixel Graphics', 'Multiple Endings', 'Comedy', '2D', 'Platformer', 'Singleplayer', 'Dark Humor', 'Exploration', 'Choose Your Own Adventure', 'Nonlinear', 'Retro', 'Metroidvania', 'Violent', 'Puzzle Platformer', 'Choices Matter', 'Dark Comedy', 'Great Soundtrack', 'Mystery Dungeon']"/>
  </r>
  <r>
    <x v="139"/>
    <n v="714010"/>
    <s v="Y"/>
    <n v="2"/>
    <x v="2"/>
    <x v="5"/>
    <d v="2023-06-16T00:00:00"/>
    <x v="138"/>
    <s v="Statespace"/>
    <m/>
    <m/>
    <x v="0"/>
    <m/>
    <m/>
    <x v="58"/>
    <x v="58"/>
    <s v="['FPS', 'Free to Play', 'Shooter', 'Simulation', 'Action', 'First-Person', 'Third-Person Shooter', 'Software', 'Score Attack', 'eSports', 'Controller', 'Level Editor', 'Competitive', 'Co-op', 'PvP', 'PvE', 'Education', '3D', 'Sniper', 'Casual']"/>
  </r>
  <r>
    <x v="140"/>
    <n v="631510"/>
    <s v="Y"/>
    <n v="0"/>
    <x v="74"/>
    <x v="5"/>
    <d v="2018-03-13T00:00:00"/>
    <x v="139"/>
    <s v="CAPCOM Co., Ltd."/>
    <n v="66"/>
    <n v="192"/>
    <x v="103"/>
    <n v="27"/>
    <n v="5277"/>
    <x v="0"/>
    <x v="0"/>
    <s v="['Hack and Slash', 'Action', 'Great Soundtrack', 'Character Action Game', 'Difficult', 'Classic', 'Spectacle fighter', 'Demons', 'Singleplayer', 'Stylized', 'Violent', 'Third Person', 'Gothic', 'Gore', 'Atmospheric', 'Story Rich', 'Fast-Paced', 'Adventure', &quot;Beat 'em up&quot;, 'Anime']"/>
  </r>
  <r>
    <x v="141"/>
    <n v="456670"/>
    <s v="Y"/>
    <n v="0"/>
    <x v="74"/>
    <x v="5"/>
    <d v="2017-11-07T00:00:00"/>
    <x v="140"/>
    <s v="Defiant Development"/>
    <n v="109"/>
    <n v="27"/>
    <x v="104"/>
    <n v="11"/>
    <n v="6690"/>
    <x v="2"/>
    <x v="2"/>
    <s v="['RPG', 'Roguelike Deckbuilder', 'Card Game', 'Deckbuilding', 'Action', 'Roguelite', 'Action Roguelike', 'Indie', 'Singleplayer', 'Board Game', 'Fantasy', 'Roguelike', 'Dungeon Crawler', 'Hack and Slash', 'Choices Matter', 'Strategy', 'Third Person', 'Action RPG', 'Atmospheric', 'Female Protagonist']"/>
  </r>
  <r>
    <x v="142"/>
    <n v="613100"/>
    <s v="Y"/>
    <n v="0"/>
    <x v="75"/>
    <x v="5"/>
    <d v="2018-05-17T00:00:00"/>
    <x v="141"/>
    <s v="Frozen District"/>
    <n v="118"/>
    <n v="138"/>
    <x v="105"/>
    <n v="109"/>
    <n v="3471"/>
    <x v="7"/>
    <x v="7"/>
    <s v="['Cleaning', 'Simulation', 'Design &amp; Illustration', 'Singleplayer', 'Building', 'Multiplayer', 'Relaxing', 'Sandbox', 'Casual', 'Decorating', 'Immersive Sim', 'Education', 'First-Person', 'Organizing', 'Management', 'Economy', '3D', 'Family Friendly', 'Base Building', 'Realistic']"/>
  </r>
  <r>
    <x v="143"/>
    <n v="42910"/>
    <s v="Y"/>
    <n v="0"/>
    <x v="76"/>
    <x v="5"/>
    <d v="2011-01-25T00:00:00"/>
    <x v="142"/>
    <s v="Paradox Interactive"/>
    <n v="133"/>
    <n v="252"/>
    <x v="106"/>
    <n v="24"/>
    <n v="2925"/>
    <x v="47"/>
    <x v="47"/>
    <s v="['Comedy', 'Co-op', 'Action', 'Fantasy', 'Magic', 'Online Co-Op', 'Multiplayer', 'RPG', 'Adventure', 'Funny', 'Local Co-Op', '4 Player Local', 'Indie', 'Local Multiplayer', 'Singleplayer', 'Difficult', 'Team-Based', 'Action RPG', 'Arcade', 'Strategy']"/>
  </r>
  <r>
    <x v="144"/>
    <n v="200510"/>
    <s v="Y"/>
    <n v="0"/>
    <x v="77"/>
    <x v="5"/>
    <d v="2012-10-11T00:00:00"/>
    <x v="143"/>
    <s v="2K"/>
    <n v="242"/>
    <n v="629"/>
    <x v="107"/>
    <n v="100"/>
    <n v="4838"/>
    <x v="37"/>
    <x v="37"/>
    <s v="['Turn-Based Strategy', 'Tactical', 'Strategy', 'Sci-fi', 'Turn-Based', 'Aliens', 'Singleplayer', 'Difficult', 'Base Building', 'Turn-Based Tactics', 'Replay Value', 'Addictive', 'Character Customization', 'Perma Death', 'Multiplayer', 'RPG', 'Action', 'Atmospheric', 'Futuristic', 'Reboot']"/>
  </r>
  <r>
    <x v="145"/>
    <n v="8870"/>
    <s v="Y"/>
    <n v="0"/>
    <x v="18"/>
    <x v="5"/>
    <d v="2013-03-25T00:00:00"/>
    <x v="144"/>
    <s v="2K"/>
    <n v="27"/>
    <n v="4400"/>
    <x v="108"/>
    <n v="498"/>
    <n v="1868"/>
    <x v="6"/>
    <x v="6"/>
    <s v="['Action', 'First-Person', 'Shooter', 'FPS', 'Singleplayer', 'Story Rich', 'RPG', 'Adventure', 'Fantasy', 'Sci-fi', 'Atmospheric', 'Gore', 'Alternate History', 'Dystopian', 'Steampunk', 'Immersive', 'Time Travel', 'Linear', 'Combat', 'Dark']"/>
  </r>
  <r>
    <x v="146"/>
    <n v="49520"/>
    <s v="Y"/>
    <n v="8"/>
    <x v="44"/>
    <x v="5"/>
    <d v="2012-09-20T00:00:00"/>
    <x v="145"/>
    <s v="2K"/>
    <n v="31"/>
    <n v="1200"/>
    <x v="109"/>
    <n v="457"/>
    <n v="8388"/>
    <x v="42"/>
    <x v="42"/>
    <s v="['Loot', 'Shooter', 'Action', 'Multiplayer', 'Co-op', 'Looter Shooter', 'FPS', 'RPG', 'First-Person', 'Funny', 'Comedy', 'Open World', 'Combat', 'Online Co-Op', 'Adventure', 'Action RPG', 'Dark Humor', 'Singleplayer', 'Memes', 'Sci-fi']"/>
  </r>
  <r>
    <x v="147"/>
    <n v="252610"/>
    <s v="Y"/>
    <n v="0"/>
    <x v="78"/>
    <x v="5"/>
    <d v="2016-07-21T00:00:00"/>
    <x v="146"/>
    <s v="Rocketcat Games"/>
    <n v="54"/>
    <n v="49"/>
    <x v="110"/>
    <n v="3"/>
    <n v="14660"/>
    <x v="18"/>
    <x v="18"/>
    <s v="['Zombies', 'Pixel Graphics', 'Action Roguelike', 'Local Co-Op', 'Survival', 'Action', 'Roguelike', 'Character Customization', 'Indie', 'Comedy', 'Great Soundtrack', 'RPG', 'Multiplayer', 'Replay Value', 'Co-op', '2D', 'Funny', 'Difficult', 'Roguelite', 'Memes']"/>
  </r>
  <r>
    <x v="148"/>
    <n v="268130"/>
    <s v="Y"/>
    <n v="0"/>
    <x v="79"/>
    <x v="5"/>
    <d v="2017-09-21T00:00:00"/>
    <x v="147"/>
    <s v="Suspicious Developments"/>
    <n v="111"/>
    <n v="13"/>
    <x v="111"/>
    <n v="13"/>
    <n v="2273"/>
    <x v="3"/>
    <x v="3"/>
    <s v="['Space', 'Stealth', 'Indie', 'Top-Down', 'Roguelike', 'Action', 'Strategy', 'Sci-fi', 'Procedural Generation', 'Real-Time with Pause', 'Roguelite', 'Singleplayer', 'Adventure', '2D', 'Tactical', 'Perma Death', 'Top-Down Shooter', 'Open World', 'Bullet Time', 'Action Roguelike']"/>
  </r>
  <r>
    <x v="149"/>
    <n v="590380"/>
    <s v="Y"/>
    <n v="0"/>
    <x v="79"/>
    <x v="5"/>
    <d v="2018-02-27T00:00:00"/>
    <x v="148"/>
    <s v="Subset Games"/>
    <n v="120"/>
    <n v="429"/>
    <x v="112"/>
    <n v="117"/>
    <n v="3346"/>
    <x v="0"/>
    <x v="0"/>
    <s v="['Strategy', 'Turn-Based Strategy', 'Indie', 'Pixel Graphics', 'Turn-Based Tactics', 'Mechs', 'Roguelike', 'Turn-Based', 'Puzzle', 'Roguelite', 'Sci-fi', 'Singleplayer', 'Tactical', 'Turn-Based Combat', 'Isometric', 'RPG', 'Replay Value', 'Procedural Generation', 'Simulation', 'Great Soundtrack']"/>
  </r>
  <r>
    <x v="150"/>
    <n v="57690"/>
    <s v="Y"/>
    <n v="0"/>
    <x v="79"/>
    <x v="5"/>
    <d v="2011-09-01T00:00:00"/>
    <x v="149"/>
    <s v="Kalypso Media Digital"/>
    <n v="229"/>
    <n v="67"/>
    <x v="113"/>
    <n v="42"/>
    <n v="6619"/>
    <x v="12"/>
    <x v="12"/>
    <s v="['City Builder', 'Simulation', 'Strategy', 'Management', 'Comedy', 'Sandbox', 'Singleplayer', 'Great Soundtrack', 'Economy', 'Real-Time with Pause', 'Politics', 'Building', 'Resource Management', 'Political', 'Funny', 'Cold War', 'RTS', 'Atmospheric', 'Capitalism', 'God Game']"/>
  </r>
  <r>
    <x v="151"/>
    <n v="8850"/>
    <s v="Y"/>
    <n v="0"/>
    <x v="80"/>
    <x v="5"/>
    <d v="2010-02-09T00:00:00"/>
    <x v="150"/>
    <s v="2K"/>
    <n v="25"/>
    <n v="1800"/>
    <x v="22"/>
    <n v="361"/>
    <n v="1526"/>
    <x v="59"/>
    <x v="59"/>
    <s v="['FPS', 'Action', 'Singleplayer', 'Story Rich', 'Atmospheric', 'Horror', 'First-Person', 'Shooter', 'Steampunk', 'Sci-fi', 'Underwater', 'Dystopian', 'Multiplayer', 'Adventure', 'Immersive', 'RPG', 'Dark', 'Great Soundtrack', 'Philosophical', 'Action RPG']"/>
  </r>
  <r>
    <x v="152"/>
    <n v="409710"/>
    <s v="Y"/>
    <n v="0"/>
    <x v="81"/>
    <x v="5"/>
    <d v="2016-09-15T00:00:00"/>
    <x v="151"/>
    <s v="2K"/>
    <n v="28"/>
    <n v="3700"/>
    <x v="114"/>
    <n v="805"/>
    <n v="1456"/>
    <x v="18"/>
    <x v="18"/>
    <s v="['FPS', 'Story Rich', 'Atmospheric', 'Horror', 'Singleplayer', 'First-Person', 'Action', 'Dystopian', 'Shooter', 'Underwater', 'Sci-fi', 'Steampunk', 'Dark', 'Classic', 'Adventure', 'Great Soundtrack', 'Immersive Sim', 'Alternate History', 'RPG', 'Remake']"/>
  </r>
  <r>
    <x v="153"/>
    <n v="242050"/>
    <s v="Y"/>
    <n v="0"/>
    <x v="82"/>
    <x v="5"/>
    <m/>
    <x v="152"/>
    <s v="Ubisoft"/>
    <n v="18"/>
    <n v="1300"/>
    <x v="115"/>
    <n v="948"/>
    <n v="3832"/>
    <x v="57"/>
    <x v="57"/>
    <s v="['Pirates', 'Open World', 'Assassins', 'Adventure', 'Action', 'Stealth', 'Parkour', 'Third Person', 'Naval', 'Multiplayer', 'Historical', 'Story Rich', 'Singleplayer', 'Exploration', 'Naval Combat', 'Action-Adventure', 'Atmospheric', 'RPG', 'Action RPG', 'Co-op']"/>
  </r>
  <r>
    <x v="154"/>
    <n v="209000"/>
    <s v="Y"/>
    <n v="0"/>
    <x v="82"/>
    <x v="5"/>
    <d v="2013-10-24T00:00:00"/>
    <x v="153"/>
    <s v="Warner Bros. Interactive Entertainment"/>
    <n v="21"/>
    <n v="1300"/>
    <x v="116"/>
    <n v="221"/>
    <n v="2601"/>
    <x v="60"/>
    <x v="60"/>
    <s v="['Action', 'Open World', 'Superhero', 'Adventure', 'Stealth', 'Third Person', 'Singleplayer', 'Multiplayer', 'Fighting', &quot;Beat 'em up&quot;, 'Comic Book', 'Detective', 'Story Rich', 'Atmospheric', 'Action-Adventure', 'Controller', 'Sandbox', 'Third-Person Shooter', 'RPG', 'Co-op']"/>
  </r>
  <r>
    <x v="155"/>
    <n v="238010"/>
    <s v="Y"/>
    <n v="0"/>
    <x v="21"/>
    <x v="5"/>
    <d v="2013-10-25T00:00:00"/>
    <x v="154"/>
    <s v="Eidos Interactive Corp."/>
    <n v="60"/>
    <n v="350"/>
    <x v="117"/>
    <n v="258"/>
    <n v="2900"/>
    <x v="60"/>
    <x v="60"/>
    <s v="['Cyberpunk', 'Stealth', 'RPG', 'Sci-fi', 'FPS', 'Action', 'Singleplayer', 'Story Rich', 'Great Soundtrack', 'Transhumanism', 'Dystopian', 'First-Person', 'Atmospheric', 'Immersive Sim', 'Adventure', 'Inventory Management', 'Immersive', 'Shooter', 'Futuristic', 'Replay Value']"/>
  </r>
  <r>
    <x v="156"/>
    <n v="367500"/>
    <s v="Y"/>
    <n v="0"/>
    <x v="21"/>
    <x v="5"/>
    <d v="2016-01-15T00:00:00"/>
    <x v="155"/>
    <s v="Capcom"/>
    <n v="73"/>
    <n v="387"/>
    <x v="118"/>
    <n v="156"/>
    <n v="7175"/>
    <x v="23"/>
    <x v="23"/>
    <s v="['RPG', 'Open World', 'Character Customization', 'Fantasy', 'Action', 'Adventure', 'Singleplayer', 'Action RPG', 'Dragons', 'Dark Fantasy', 'Third Person', 'Magic', 'Exploration', 'Atmospheric', 'Great Soundtrack', 'Story Rich', 'Difficult', 'Multiplayer', 'JRPG', 'Hack and Slash']"/>
  </r>
  <r>
    <x v="157"/>
    <n v="444090"/>
    <s v="Y"/>
    <n v="17"/>
    <x v="83"/>
    <x v="5"/>
    <d v="2018-05-08T00:00:00"/>
    <x v="156"/>
    <s v="Hi-Rez Studios"/>
    <m/>
    <m/>
    <x v="0"/>
    <m/>
    <m/>
    <x v="7"/>
    <x v="7"/>
    <s v="['Hero Shooter', 'Free to Play', 'Multiplayer', 'FPS', 'Shooter', 'Action', 'Team-Based', 'First-Person', 'PvP', 'MOBA', 'Online Co-Op', 'Fantasy', 'Controller', 'Strategy', 'Co-op', 'Character Customization', 'Massively Multiplayer', 'Colorful', 'Adventure', 'Funny']"/>
  </r>
  <r>
    <x v="158"/>
    <n v="346010"/>
    <s v="Y"/>
    <n v="2"/>
    <x v="50"/>
    <x v="5"/>
    <d v="2020-02-18T00:00:00"/>
    <x v="157"/>
    <s v="Spiderling Studios"/>
    <n v="23"/>
    <n v="45"/>
    <x v="119"/>
    <n v="14"/>
    <n v="1249"/>
    <x v="10"/>
    <x v="10"/>
    <s v="['Simulation', 'Sandbox', 'Physics', 'Destruction', 'Medieval', 'Building', 'Moddable', 'Multiplayer', 'PvE', 'PvP', 'Puzzle', 'Replay Value', 'Vehicular Combat', 'Level Editor', 'Flight', 'Naval Combat', '3D', 'Dark Humor', 'Strategy', 'Wargame']"/>
  </r>
  <r>
    <x v="159"/>
    <n v="460960"/>
    <s v="Y"/>
    <n v="0"/>
    <x v="22"/>
    <x v="5"/>
    <d v="2016-05-10T00:00:00"/>
    <x v="158"/>
    <s v="GrabTheGames"/>
    <n v="211"/>
    <n v="3"/>
    <x v="120"/>
    <n v="10"/>
    <n v="863"/>
    <x v="29"/>
    <x v="29"/>
    <s v="['Adventure', 'Crime', 'Indie', 'Story Rich', 'Atmospheric', 'Choices Matter', 'RPG', 'Singleplayer', 'Detective', 'Puzzle', 'Choose Your Own Adventure', 'Visual Novel', 'Mystery', 'Family Friendly', 'Sexual Content', 'Historical', '2D', 'Simulation', 'Surreal', 'Difficult']"/>
  </r>
  <r>
    <x v="160"/>
    <n v="462770"/>
    <s v="Y"/>
    <n v="0"/>
    <x v="3"/>
    <x v="5"/>
    <d v="2017-07-25T00:00:00"/>
    <x v="159"/>
    <s v="Supergiant Games"/>
    <n v="170"/>
    <n v="303"/>
    <x v="121"/>
    <n v="93"/>
    <n v="1317"/>
    <x v="3"/>
    <x v="3"/>
    <s v="['Indie', 'RPG', 'Great Soundtrack', 'Story Rich', 'Action', 'Visual Novel', 'Atmospheric', 'Fantasy', 'Hand-drawn', 'Choices Matter', 'Singleplayer', 'Colorful', 'Adventure', 'Party-Based RPG', 'Local Multiplayer', 'Lore-Rich', 'Multiple Endings', 'Interactive Fiction', 'Stylized', 'Music']"/>
  </r>
  <r>
    <x v="161"/>
    <n v="403640"/>
    <s v="Y"/>
    <n v="0"/>
    <x v="24"/>
    <x v="5"/>
    <d v="2016-11-11T00:00:00"/>
    <x v="160"/>
    <s v="Bethesda Softworks"/>
    <n v="69"/>
    <n v="1000"/>
    <x v="122"/>
    <n v="349"/>
    <n v="2845"/>
    <x v="54"/>
    <x v="54"/>
    <s v="['Stealth', 'First-Person', 'Assassins', 'Action', 'Singleplayer', 'Steampunk', 'Story Rich', 'Atmospheric', 'Female Protagonist', 'Magic', 'Parkour', 'Supernatural', 'Open World', 'Adventure', 'Immersive Sim', 'Exploration', 'Gore', 'Great Soundtrack', 'Heist', 'Dystopian']"/>
  </r>
  <r>
    <x v="162"/>
    <n v="742300"/>
    <s v="Y"/>
    <n v="0"/>
    <x v="24"/>
    <x v="5"/>
    <d v="2018-10-02T00:00:00"/>
    <x v="161"/>
    <s v="CAPCOM CO., LTD."/>
    <n v="137"/>
    <n v="384"/>
    <x v="123"/>
    <n v="24"/>
    <n v="1183"/>
    <x v="27"/>
    <x v="27"/>
    <s v="['Action', 'Platformer', 'Side Scroller', 'Classic', 'Difficult', 'Singleplayer', 'Robots', 'Great Soundtrack', '2.5D', '2D', 'Retro', 'Adventure', 'Anime', 'Shooter', 'Sci-fi', '2D Platformer', 'Action-Adventure', 'Cute', 'Colorful', 'Arcade']"/>
  </r>
  <r>
    <x v="163"/>
    <n v="502500"/>
    <s v="Y"/>
    <n v="0"/>
    <x v="4"/>
    <x v="5"/>
    <d v="2019-01-31T00:00:00"/>
    <x v="162"/>
    <s v="Bandai Namco Entertainment"/>
    <n v="7"/>
    <n v="501"/>
    <x v="124"/>
    <n v="29"/>
    <n v="4374"/>
    <x v="33"/>
    <x v="33"/>
    <s v="['Flight', 'Military', 'War', 'Arcade', 'Shooter', 'Cinematic', '3D', 'Multiplayer', 'PvP', 'Action', 'Simulation', 'First-Person', 'Story Rich', 'Third Person', 'Great Soundtrack', 'Singleplayer', 'Silent Protagonist', 'Sci-fi', 'Realistic', 'VR']"/>
  </r>
  <r>
    <x v="164"/>
    <n v="286690"/>
    <s v="Y"/>
    <n v="0"/>
    <x v="4"/>
    <x v="5"/>
    <d v="2014-08-27T00:00:00"/>
    <x v="163"/>
    <s v="Deep Silver"/>
    <n v="142"/>
    <n v="2200"/>
    <x v="125"/>
    <n v="305"/>
    <n v="1468"/>
    <x v="5"/>
    <x v="5"/>
    <s v="['Post-apocalyptic', 'FPS', 'Atmospheric', 'Story Rich', 'Horror', 'Action', 'Singleplayer', 'First-Person', 'Shooter', 'Stealth', 'Survival Horror', 'Based On A Novel', 'Multiplayer', 'Survival', 'Adventure', 'Remake', 'Gore', 'Classic', 'Open World', 'Co-op']"/>
  </r>
  <r>
    <x v="165"/>
    <n v="287390"/>
    <s v="Y"/>
    <n v="0"/>
    <x v="4"/>
    <x v="5"/>
    <d v="2014-08-27T00:00:00"/>
    <x v="164"/>
    <s v="Deep Silver"/>
    <n v="143"/>
    <n v="1500"/>
    <x v="126"/>
    <n v="222"/>
    <n v="1703"/>
    <x v="5"/>
    <x v="5"/>
    <s v="['Post-apocalyptic', 'FPS', 'Atmospheric', 'Action', 'Story Rich', 'Horror', 'Singleplayer', 'First-Person', 'Shooter', 'Stealth', 'Survival', 'Based On A Novel', 'Adventure', 'Survival Horror', 'Nudity', 'Remake', 'Sci-fi', 'Multiplayer', 'Difficult', 'Open World']"/>
  </r>
  <r>
    <x v="166"/>
    <n v="2881650"/>
    <s v="Y"/>
    <n v="0"/>
    <x v="84"/>
    <x v="5"/>
    <d v="2024-04-01T00:00:00"/>
    <x v="165"/>
    <s v="Evil Landfall?"/>
    <n v="37"/>
    <m/>
    <x v="0"/>
    <m/>
    <m/>
    <x v="53"/>
    <x v="53"/>
    <s v="['Horror', 'Online Co-Op', 'Procedural Generation', 'Exploration', 'Action Roguelike', 'Multiplayer', 'Comedy', 'Physics', 'Co-op', 'Funny', 'First-Person', 'Psychological Horror', 'Survival Horror', 'Atmospheric', 'Post-apocalyptic', 'Adventure', '3D', 'Time Management', 'Investigation', 'Mystery']"/>
  </r>
  <r>
    <x v="167"/>
    <n v="764790"/>
    <s v="Y"/>
    <n v="0"/>
    <x v="84"/>
    <x v="5"/>
    <d v="2018-08-30T00:00:00"/>
    <x v="166"/>
    <s v="Devolver Digital"/>
    <n v="215"/>
    <n v="486"/>
    <x v="127"/>
    <n v="653"/>
    <n v="1009"/>
    <x v="9"/>
    <x v="9"/>
    <s v="['Retro', 'Platformer', 'Pixel Graphics', 'Metroidvania', 'Ninja', '2D', 'Great Soundtrack', 'Indie', 'Action', '2D Platformer', 'Singleplayer', 'Funny', 'Action-Adventure', 'Difficult', 'Time Travel', 'Adventure', 'Side Scroller', 'Comedy', 'Beautiful', 'Epic']"/>
  </r>
  <r>
    <x v="168"/>
    <n v="359550"/>
    <s v="Y"/>
    <n v="0"/>
    <x v="84"/>
    <x v="5"/>
    <d v="2015-12-01T00:00:00"/>
    <x v="167"/>
    <s v="Ubisoft"/>
    <n v="226"/>
    <n v="108"/>
    <x v="128"/>
    <n v="79"/>
    <n v="17298"/>
    <x v="21"/>
    <x v="21"/>
    <s v="['FPS', 'PvP', 'Multiplayer', 'Shooter', 'Tactical', 'eSports', 'Competitive', 'Online Co-Op', 'Action', 'Hero Shooter', 'Team-Based', 'Military', 'Strategy', 'First-Person', 'Co-op', 'Realistic', 'Destruction', 'War', 'Difficult', '3D']"/>
  </r>
  <r>
    <x v="169"/>
    <n v="524220"/>
    <s v="Y"/>
    <n v="0"/>
    <x v="25"/>
    <x v="5"/>
    <d v="2017-03-17T00:00:00"/>
    <x v="168"/>
    <s v="Square Enix"/>
    <m/>
    <m/>
    <x v="0"/>
    <m/>
    <m/>
    <x v="1"/>
    <x v="1"/>
    <s v="['Hack and Slash', 'RPG', 'Great Soundtrack', 'Story Rich', 'Female Protagonist', 'Action', 'Spectacle fighter', 'Open World', 'JRPG', 'Anime', 'Post-apocalyptic', 'Singleplayer', 'Robots', 'Atmospheric', 'Sci-fi', 'Nudity', 'Adventure', 'Bullet Hell', 'Character Action Game', 'Violent']"/>
  </r>
  <r>
    <x v="170"/>
    <n v="232790"/>
    <s v="Y"/>
    <n v="0"/>
    <x v="52"/>
    <x v="5"/>
    <d v="2014-01-28T00:00:00"/>
    <x v="169"/>
    <s v="Double Fine Productions"/>
    <m/>
    <m/>
    <x v="0"/>
    <m/>
    <m/>
    <x v="4"/>
    <x v="4"/>
    <s v="['Point &amp; Click', 'Adventure', 'Story Rich', 'Comedy', 'Indie', 'Funny', 'Singleplayer', 'Great Soundtrack', 'Puzzle', 'Casual', 'Female Protagonist', '2D', 'Classic', 'Retro', 'Sci-fi', 'Episodic', 'Short', 'Escape Room', 'Hand-drawn', 'Touch-Friendly']"/>
  </r>
  <r>
    <x v="171"/>
    <n v="1017900"/>
    <s v="Y"/>
    <n v="0"/>
    <x v="85"/>
    <x v="5"/>
    <d v="2019-08-19T00:00:00"/>
    <x v="170"/>
    <s v="Xbox Game Studios"/>
    <n v="9"/>
    <n v="27"/>
    <x v="129"/>
    <n v="30"/>
    <n v="4683"/>
    <x v="16"/>
    <x v="16"/>
    <s v="['Strategy', 'RTS', 'Multiplayer', 'Singleplayer', 'Base Building', 'City Builder', 'Historical', 'Classic', 'Remake', 'Real-Time', 'Medieval', 'Co-op', 'Story Rich', 'Great Soundtrack', 'War', 'Action', 'Isometric', 'Retro', &quot;1990's&quot;, 'Building']"/>
  </r>
  <r>
    <x v="172"/>
    <n v="623940"/>
    <s v="Y"/>
    <n v="0"/>
    <x v="85"/>
    <x v="5"/>
    <d v="2017-09-14T00:00:00"/>
    <x v="171"/>
    <s v="What Pumpkin Games, Inc."/>
    <n v="114"/>
    <n v="68"/>
    <x v="130"/>
    <n v="28"/>
    <n v="302"/>
    <x v="3"/>
    <x v="3"/>
    <s v="['Adventure', 'Point &amp; Click', 'Great Soundtrack', 'RPG', 'Indie', 'Memes', 'Female Protagonist', 'Aliens', 'Story Rich', 'Cute', '2D', 'Singleplayer', 'Puzzle', 'Atmospheric', 'Exploration', 'Sci-fi', 'Colorful', 'Family Friendly', 'Difficult', 'Psychological Horror']"/>
  </r>
  <r>
    <x v="173"/>
    <n v="304240"/>
    <s v="Y"/>
    <n v="0"/>
    <x v="85"/>
    <x v="5"/>
    <d v="2015-01-19T00:00:00"/>
    <x v="172"/>
    <s v="CAPCOM Co., Ltd."/>
    <m/>
    <m/>
    <x v="0"/>
    <m/>
    <m/>
    <x v="24"/>
    <x v="24"/>
    <s v="['Survival Horror', 'Zombies', 'Horror', 'Classic', 'Remake', 'Atmospheric', 'Singleplayer', 'Puzzle', 'Survival', 'Adventure', 'Third Person', 'Action', 'Female Protagonist', 'Story Rich', 'Difficult', 'Gore', 'Shooter', 'Great Soundtrack', 'Third-Person Shooter', 'Co-op']"/>
  </r>
  <r>
    <x v="174"/>
    <n v="374320"/>
    <s v="Y"/>
    <n v="43"/>
    <x v="26"/>
    <x v="5"/>
    <d v="2016-04-11T00:00:00"/>
    <x v="173"/>
    <s v="FromSoftware, Inc."/>
    <n v="46"/>
    <n v="1900"/>
    <x v="131"/>
    <n v="1200"/>
    <n v="6437"/>
    <x v="29"/>
    <x v="29"/>
    <s v="['Souls-like', 'Dark Fantasy', 'Difficult', 'RPG', 'Atmospheric', 'Lore-Rich', 'Third Person', 'Exploration', 'Story Rich', 'Action RPG', 'Co-op', 'Great Soundtrack', 'Adventure', 'Action', 'Multiplayer', 'PvP', 'Open World', 'Singleplayer', 'Character Customization', 'Replay Value']"/>
  </r>
  <r>
    <x v="175"/>
    <n v="50620"/>
    <s v="Y"/>
    <n v="0"/>
    <x v="26"/>
    <x v="5"/>
    <d v="2010-09-23T00:00:00"/>
    <x v="174"/>
    <s v="THQ Nordic"/>
    <n v="49"/>
    <n v="1100"/>
    <x v="132"/>
    <n v="429"/>
    <n v="1738"/>
    <x v="48"/>
    <x v="48"/>
    <s v="['Action', 'Adventure', 'Hack and Slash', 'Third Person', 'Singleplayer', 'Post-apocalyptic', 'Fantasy', 'Controller', 'Action RPG', 'Puzzle', 'Action-Adventure', 'Gore', 'Open World', 'RPG', 'Spectacle fighter', '3D Platformer', &quot;Beat 'em up&quot;, 'Metroidvania', 'Character Action Game', 'Platformer']"/>
  </r>
  <r>
    <x v="176"/>
    <n v="462780"/>
    <s v="Y"/>
    <n v="0"/>
    <x v="26"/>
    <x v="5"/>
    <d v="2016-11-29T00:00:00"/>
    <x v="175"/>
    <s v="THQ Nordic"/>
    <n v="51"/>
    <n v="1100"/>
    <x v="132"/>
    <n v="429"/>
    <n v="1738"/>
    <x v="54"/>
    <x v="54"/>
    <s v="['Action', 'Hack and Slash', 'Adventure', 'Third Person', 'Dark Fantasy', 'Singleplayer', 'RPG', 'Violent', 'Puzzle', 'Gore', 'Fantasy', 'Demons', 'Post-apocalyptic', 'Open World', 'Story Rich', 'Metroidvania', 'Controller', 'Remake', 'Difficult', 'Action RPG']"/>
  </r>
  <r>
    <x v="177"/>
    <n v="356650"/>
    <s v="Y"/>
    <n v="0"/>
    <x v="26"/>
    <x v="5"/>
    <d v="2018-08-13T00:00:00"/>
    <x v="176"/>
    <s v="Serenity Forge"/>
    <n v="56"/>
    <n v="38"/>
    <x v="133"/>
    <n v="10"/>
    <n v="2541"/>
    <x v="9"/>
    <x v="9"/>
    <s v="['Souls-like', 'Metroidvania', 'Pixel Graphics', 'RPG', 'Dark Fantasy', 'Action', '2D', 'Indie', 'Adventure', 'Platformer', 'Difficult', 'Action RPG', 'Singleplayer', 'Side Scroller', 'Atmospheric', 'Great Soundtrack', 'Fantasy', 'Story Rich', 'Controller', 'Replay Value']"/>
  </r>
  <r>
    <x v="178"/>
    <n v="329050"/>
    <s v="Y"/>
    <n v="0"/>
    <x v="53"/>
    <x v="5"/>
    <d v="2015-06-23T00:00:00"/>
    <x v="177"/>
    <s v="CAPCOM Co., Ltd."/>
    <n v="64"/>
    <n v="543"/>
    <x v="134"/>
    <n v="21"/>
    <n v="4266"/>
    <x v="30"/>
    <x v="30"/>
    <s v="['Action', 'Hack and Slash', 'Character Action Game', 'Great Soundtrack', 'Singleplayer', 'Spectacle fighter', 'Third Person', 'Stylized', 'Difficult', 'Classic', 'Story Rich', 'Anime', 'Adventure', 'Atmospheric', &quot;Beat 'em up&quot;, 'Replay Value', 'Controller', 'Female Protagonist', 'Remake', 'Demons']"/>
  </r>
  <r>
    <x v="179"/>
    <n v="1245620"/>
    <s v="Y"/>
    <n v="0"/>
    <x v="53"/>
    <x v="5"/>
    <d v="2022-02-24T00:00:00"/>
    <x v="178"/>
    <s v="FromSoftware, Inc."/>
    <n v="77"/>
    <n v="1700"/>
    <x v="135"/>
    <n v="3900"/>
    <n v="8519"/>
    <x v="61"/>
    <x v="61"/>
    <s v="['Souls-like', 'Open World', 'Dark Fantasy', 'RPG', 'Difficult', 'Action RPG', 'Multiplayer', 'Third Person', 'Fantasy', 'Singleplayer', 'Online Co-Op', 'Action', 'Co-op', 'Atmospheric', 'Great Soundtrack', 'PvP', 'Violent', '3D', 'Character Customization', 'Family Friendly']"/>
  </r>
  <r>
    <x v="180"/>
    <n v="287700"/>
    <s v="Y"/>
    <n v="0"/>
    <x v="53"/>
    <x v="5"/>
    <d v="2015-09-01T00:00:00"/>
    <x v="179"/>
    <s v="KONAMI"/>
    <n v="141"/>
    <n v="857"/>
    <x v="136"/>
    <n v="505"/>
    <n v="10159"/>
    <x v="8"/>
    <x v="8"/>
    <s v="['Stealth', 'Open World', 'Action', 'Story Rich', 'Tactical', 'Cinematic', 'Third Person', 'Great Soundtrack', 'Singleplayer', 'Atmospheric', 'Adventure', 'Horses', 'Third-Person Shooter', 'Multiplayer', 'Shooter', 'Replay Value', 'Sandbox', 'Dark', 'Sci-fi', 'Heist']"/>
  </r>
  <r>
    <x v="181"/>
    <n v="257170"/>
    <s v="Y"/>
    <n v="0"/>
    <x v="53"/>
    <x v="5"/>
    <d v="2015-05-29T00:00:00"/>
    <x v="180"/>
    <s v="Northway Games"/>
    <n v="173"/>
    <n v="5"/>
    <x v="137"/>
    <n v="1"/>
    <n v="2460"/>
    <x v="30"/>
    <x v="30"/>
    <s v="['Colony Sim', 'Survival', '4X', 'Strategy', 'Post-apocalyptic', 'RPG', 'City Builder', 'Zombies', 'Choices Matter', 'Turn-Based Strategy', 'Base Building', 'Building', 'Sandbox', 'Management', 'Simulation', 'Story Rich', 'Outbreak Sim', 'Survival Horror', '2D', 'Real-Time with Pause']"/>
  </r>
  <r>
    <x v="182"/>
    <n v="567640"/>
    <s v="Y"/>
    <n v="19"/>
    <x v="86"/>
    <x v="5"/>
    <d v="2017-09-25T00:00:00"/>
    <x v="181"/>
    <s v="Spike Chunsoft Co., Ltd."/>
    <n v="43"/>
    <n v="663"/>
    <x v="138"/>
    <n v="78"/>
    <n v="6190"/>
    <x v="3"/>
    <x v="3"/>
    <s v="['Visual Novel', 'Detective', 'Female Protagonist', 'Anime', 'Story Rich', 'Mystery', 'Great Soundtrack', 'Singleplayer', 'Psychological Horror', 'Dark Humor', 'Horror', 'Puzzle', 'Adventure', 'Dark Comedy', 'Dark', 'Atmospheric', 'Funny', 'Dating Sim', 'Memes', 'Comedy']"/>
  </r>
  <r>
    <x v="183"/>
    <n v="570940"/>
    <s v="Y"/>
    <n v="20"/>
    <x v="86"/>
    <x v="5"/>
    <d v="2018-05-23T00:00:00"/>
    <x v="182"/>
    <s v="FromSoftware, Inc."/>
    <n v="47"/>
    <n v="944"/>
    <x v="139"/>
    <n v="953"/>
    <n v="4278"/>
    <x v="7"/>
    <x v="7"/>
    <s v="['Souls-like', 'Dark Fantasy', 'RPG', 'Difficult', 'Action', 'Dark', 'Fantasy', 'Atmospheric', 'Great Soundtrack', 'Action RPG', 'Lore-Rich', 'Adventure', 'Multiplayer', 'Exploration', 'Third Person', 'Story Rich', 'Replay Value', 'Character Customization', 'Soundtrack', 'Co-op']"/>
  </r>
  <r>
    <x v="184"/>
    <n v="335300"/>
    <s v="Y"/>
    <n v="18"/>
    <x v="28"/>
    <x v="5"/>
    <d v="2015-04-01T00:00:00"/>
    <x v="183"/>
    <s v="Bandai Namco Entertainment"/>
    <n v="45"/>
    <n v="999"/>
    <x v="140"/>
    <n v="685"/>
    <n v="6500"/>
    <x v="30"/>
    <x v="30"/>
    <s v="['Souls-like', 'Dark Fantasy', 'RPG', 'Difficult', 'Action', 'Third Person', 'Atmospheric', 'Action RPG', 'Character Customization', 'Co-op', 'Multiplayer', 'Fantasy', 'Adventure', 'Medieval', 'Dark', 'Singleplayer', 'Lore-Rich', 'Story Rich', 'PvP', 'Remake']"/>
  </r>
  <r>
    <x v="185"/>
    <n v="2622380"/>
    <s v="Y"/>
    <n v="32"/>
    <x v="5"/>
    <x v="5"/>
    <d v="2025-05-29T00:00:00"/>
    <x v="184"/>
    <s v="FromSoftware, Inc."/>
    <n v="78"/>
    <n v="180"/>
    <x v="141"/>
    <n v="192"/>
    <n v="4213"/>
    <x v="62"/>
    <x v="62"/>
    <s v="['Souls-like', 'Online Co-Op', 'Multiplayer', 'Roguelike', 'Co-op', 'Singleplayer', 'PvE', 'Action', 'Third Person', 'Roguelite', 'Action RPG', 'Open World', 'RPG', 'Dark', 'Violent', '3D', 'Survival', 'Lore-Rich', 'Story Rich', 'Dating Sim']"/>
  </r>
  <r>
    <x v="186"/>
    <n v="415740"/>
    <s v="Y"/>
    <n v="0"/>
    <x v="5"/>
    <x v="5"/>
    <d v="2016-05-26T00:00:00"/>
    <x v="185"/>
    <s v="Devolver Digital"/>
    <n v="158"/>
    <n v="14"/>
    <x v="13"/>
    <n v="1"/>
    <n v="996"/>
    <x v="29"/>
    <x v="29"/>
    <s v="['Indie', 'Racing', 'Action', 'Adventure', 'Simulation', 'Casual', 'Physics', 'Funny', 'Automobile Sim', 'Difficult', 'Multiplayer', 'Driving', 'Local Multiplayer', 'Psychological Horror', 'Destruction']"/>
  </r>
  <r>
    <x v="187"/>
    <n v="439190"/>
    <s v="Y"/>
    <n v="0"/>
    <x v="5"/>
    <x v="5"/>
    <d v="2016-04-12T00:00:00"/>
    <x v="186"/>
    <s v="Spearhead Games"/>
    <n v="201"/>
    <n v="198"/>
    <x v="142"/>
    <n v="105"/>
    <n v="1220"/>
    <x v="29"/>
    <x v="29"/>
    <s v="['Adventure', 'RPG', 'Action', 'Choices Matter', 'Indie', 'Fantasy', 'Dynamic Narration', 'Hack and Slash', 'Multiple Endings', 'Action RPG', 'Singleplayer', 'Colorful', 'Swordplay', 'Great Soundtrack', 'Story Rich', 'Isometric', 'Funny', 'Foxes', 'Action-Adventure', 'Comedy']"/>
  </r>
  <r>
    <x v="188"/>
    <n v="298630"/>
    <s v="Y"/>
    <n v="0"/>
    <x v="5"/>
    <x v="5"/>
    <d v="2015-02-13T00:00:00"/>
    <x v="187"/>
    <s v="Team17"/>
    <n v="212"/>
    <n v="31"/>
    <x v="143"/>
    <n v="16"/>
    <n v="2741"/>
    <x v="24"/>
    <x v="24"/>
    <s v="['Pixel Graphics', 'Strategy', 'Crafting', 'Singleplayer', '2D', 'Simulation', 'Indie', 'Action', 'Difficult', 'Survival', 'Adventure', 'Puzzle', 'RPG', 'Top-Down', 'Multiplayer', 'Sandbox', 'Funny', 'Comedy', 'Co-op', 'Roguelike']"/>
  </r>
  <r>
    <x v="189"/>
    <n v="39140"/>
    <s v="Y"/>
    <n v="0"/>
    <x v="29"/>
    <x v="5"/>
    <m/>
    <x v="188"/>
    <s v="Square Enix"/>
    <m/>
    <m/>
    <x v="0"/>
    <m/>
    <m/>
    <x v="57"/>
    <x v="57"/>
    <s v="['JRPG', 'RPG', 'Classic', 'Turn-Based', 'Story Rich', 'Singleplayer', 'Great Soundtrack', 'Fantasy', 'Retro', 'Adventure', 'Party-Based RPG', 'Sci-fi', 'Epic', 'Open World', 'Cyberpunk', 'Atmospheric', 'Dystopian', &quot;1990's&quot;, 'Exploration', 'Strategy']"/>
  </r>
  <r>
    <x v="190"/>
    <n v="504130"/>
    <s v="Y"/>
    <n v="0"/>
    <x v="29"/>
    <x v="5"/>
    <d v="2016-10-14T00:00:00"/>
    <x v="189"/>
    <s v="Curve Games"/>
    <m/>
    <m/>
    <x v="0"/>
    <m/>
    <m/>
    <x v="54"/>
    <x v="54"/>
    <s v="['Dark Humor', 'Singleplayer', 'Local Co-Op', 'Adventure', 'Funny', 'Indie', 'Dark Comedy', 'Physics', 'Difficult', 'Comedy', '2D', 'Intentionally Awkward Controls', 'Cartoony', 'Multiplayer', 'Controller', 'Casual', 'Walking Simulator']"/>
  </r>
  <r>
    <x v="191"/>
    <n v="625680"/>
    <s v="Y"/>
    <n v="0"/>
    <x v="29"/>
    <x v="5"/>
    <d v="2018-03-06T00:00:00"/>
    <x v="190"/>
    <s v="Household Games Inc."/>
    <n v="237"/>
    <n v="13"/>
    <x v="144"/>
    <m/>
    <m/>
    <x v="0"/>
    <x v="0"/>
    <s v="['Action', 'Indie', &quot;Beat 'em up&quot;, 'Pixel Graphics', 'Arcade', '2D']"/>
  </r>
  <r>
    <x v="192"/>
    <n v="1966900"/>
    <s v="Y"/>
    <n v="0"/>
    <x v="87"/>
    <x v="5"/>
    <d v="2023-06-08T00:00:00"/>
    <x v="191"/>
    <s v="flanne"/>
    <n v="1"/>
    <n v="111"/>
    <x v="145"/>
    <n v="82"/>
    <n v="1881"/>
    <x v="58"/>
    <x v="58"/>
    <s v="['Action Roguelike', 'Bullet Hell', 'Survival', 'Roguelite', &quot;Shoot 'Em Up&quot;, 'Horror', 'Top-Down Shooter', 'Combat', 'Pixel Graphics', 'Lovecraftian', 'Singleplayer', 'Casual', 'Strategy', 'Action', 'Bullet Heaven', 'RPG', 'Gun Customization', 'Controller', 'Score Attack', 'Dark Fantasy']"/>
  </r>
  <r>
    <x v="193"/>
    <n v="814380"/>
    <s v="Y"/>
    <n v="16"/>
    <x v="87"/>
    <x v="5"/>
    <d v="2019-03-21T00:00:00"/>
    <x v="192"/>
    <s v="Activision (Excluding Japan and Asia)"/>
    <n v="188"/>
    <n v="1200"/>
    <x v="146"/>
    <n v="1400"/>
    <n v="4313"/>
    <x v="33"/>
    <x v="33"/>
    <s v="['Souls-like', 'Difficult', 'Action', 'Singleplayer', 'Ninja', 'Stealth', 'Adventure', 'Third Person', 'Open World', 'Story Rich', 'Assassins', 'Violent', 'Atmospheric', 'Hack and Slash', 'Dark Fantasy', 'RPG', 'Gore', 'Great Soundtrack', 'Rhythm', 'Dark']"/>
  </r>
  <r>
    <x v="194"/>
    <n v="200170"/>
    <s v="Y"/>
    <n v="0"/>
    <x v="87"/>
    <x v="5"/>
    <d v="2012-10-10T00:00:00"/>
    <x v="193"/>
    <s v="Team17 Digital Ltd"/>
    <n v="241"/>
    <n v="6"/>
    <x v="147"/>
    <n v="2"/>
    <n v="1913"/>
    <x v="37"/>
    <x v="37"/>
    <s v="['Strategy', 'Multiplayer', 'Funny', 'Turn-Based Strategy', 'Turn-Based', 'Local Multiplayer', 'Comedy', 'Local Co-Op', 'Physics', 'Singleplayer', 'Tactical', 'Action', '2.5D', 'Co-op', 'Team-Based', 'Family Friendly', 'Classic', 'Side Scroller', '4 Player Local', '2D']"/>
  </r>
  <r>
    <x v="195"/>
    <n v="945360"/>
    <s v="Y"/>
    <n v="11"/>
    <x v="88"/>
    <x v="5"/>
    <d v="2018-11-16T00:00:00"/>
    <x v="194"/>
    <s v="Innersloth"/>
    <n v="13"/>
    <m/>
    <x v="0"/>
    <m/>
    <m/>
    <x v="27"/>
    <x v="27"/>
    <s v="['Multiplayer', 'Social Deduction', 'Online Co-Op', 'Space', 'Survival', '2D', 'Funny', 'Party Game', 'Psychological', 'Co-op', 'Cartoony', 'Local Multiplayer', 'Casual', 'PvP', 'Action', 'Minigames', 'Sci-fi', 'Aliens', 'Colorful', 'Top-Down']"/>
  </r>
  <r>
    <x v="196"/>
    <n v="423230"/>
    <s v="Y"/>
    <n v="0"/>
    <x v="88"/>
    <x v="5"/>
    <d v="2016-07-05T00:00:00"/>
    <x v="195"/>
    <s v="The Game Bakers"/>
    <n v="96"/>
    <n v="609"/>
    <x v="148"/>
    <n v="52"/>
    <n v="1090"/>
    <x v="18"/>
    <x v="18"/>
    <s v="['Bullet Hell', 'Hack and Slash', 'Difficult', 'Boss Rush', &quot;Beat 'em up&quot;, &quot;Shoot 'Em Up&quot;, 'Top-Down', 'Sci-fi', 'Third Person', 'Atmospheric', 'Action', 'Fast-Paced', 'Controller', 'Cyberpunk', 'Story Rich', 'Singleplayer', 'Violent', 'Replay Value', 'Great Soundtrack', 'Indie']"/>
  </r>
  <r>
    <x v="197"/>
    <n v="361300"/>
    <s v="Y"/>
    <n v="0"/>
    <x v="88"/>
    <x v="5"/>
    <d v="2016-09-05T00:00:00"/>
    <x v="196"/>
    <s v="Devolver Digital"/>
    <n v="148"/>
    <n v="105"/>
    <x v="149"/>
    <n v="2"/>
    <n v="792"/>
    <x v="18"/>
    <x v="18"/>
    <s v="[&quot;Beat 'em up&quot;, 'Gore', 'Violent', 'Action', 'Pixel Graphics', 'Great Soundtrack', 'Indie', 'Co-op', 'Local Co-Op', '2D', 'Retro', 'Atmospheric', 'Multiplayer', '4 Player Local', 'Difficult', 'Psychological Horror', 'Female Protagonist', 'Nudity', 'Sexual Content', 'Memes']"/>
  </r>
  <r>
    <x v="198"/>
    <n v="250700"/>
    <s v="Y"/>
    <n v="0"/>
    <x v="88"/>
    <x v="5"/>
    <d v="2014-08-25T00:00:00"/>
    <x v="197"/>
    <s v="Capybara Games"/>
    <n v="205"/>
    <n v="48"/>
    <x v="150"/>
    <n v="14"/>
    <n v="952"/>
    <x v="5"/>
    <x v="5"/>
    <s v="['Side Scroller', 'Time Manipulation', 'Bullet Hell', '2D Platformer', 'Pixel Graphics', &quot;Shoot 'Em Up&quot;, 'Puzzle Platformer', 'PvE', 'Difficult', 'Platformer', 'Shooter', 'Arcade', 'Action-Adventure', 'Strategy', '2D', 'Funny', 'Puzzle', 'Dinosaurs', 'Parody', 'Retro']"/>
  </r>
  <r>
    <x v="199"/>
    <n v="346110"/>
    <s v="Y"/>
    <n v="0"/>
    <x v="54"/>
    <x v="5"/>
    <d v="2017-08-27T00:00:00"/>
    <x v="198"/>
    <s v="Studio Wildcard"/>
    <n v="16"/>
    <n v="52"/>
    <x v="151"/>
    <n v="28"/>
    <n v="69246"/>
    <x v="3"/>
    <x v="3"/>
    <s v="['Open World Survival Craft', 'Survival', 'Multiplayer', 'Open World', 'Dinosaurs', 'Crafting', 'Building', 'Adventure', 'Base Building', 'Co-op', 'Action', 'Sandbox', 'First-Person', 'Massively Multiplayer', 'Singleplayer', 'Early Access', 'Dragons', 'RPG', 'Sci-fi', 'Indie']"/>
  </r>
  <r>
    <x v="200"/>
    <n v="493340"/>
    <s v="Y"/>
    <n v="0"/>
    <x v="54"/>
    <x v="5"/>
    <d v="2016-11-17T00:00:00"/>
    <x v="199"/>
    <s v="Frontier Developments"/>
    <n v="165"/>
    <n v="34"/>
    <x v="152"/>
    <n v="39"/>
    <n v="5257"/>
    <x v="54"/>
    <x v="54"/>
    <s v="['Simulation', 'Building', 'Management', 'Sandbox', 'Family Friendly', 'Relaxing', 'Strategy', 'Singleplayer', 'Economy', 'Realistic', 'Funny', 'Great Soundtrack', 'Atmospheric', 'Colorful', 'Third Person', 'City Builder', 'Casual', 'Multiplayer', '3D', 'God Game']"/>
  </r>
  <r>
    <x v="201"/>
    <n v="274350"/>
    <s v="Y"/>
    <n v="0"/>
    <x v="31"/>
    <x v="5"/>
    <d v="2015-09-10T00:00:00"/>
    <x v="200"/>
    <s v="Devolver Digital"/>
    <n v="74"/>
    <n v="46"/>
    <x v="153"/>
    <n v="41"/>
    <n v="439"/>
    <x v="8"/>
    <x v="8"/>
    <s v="['Point &amp; Click', 'Adventure', '2D', 'Great Soundtrack', 'Pixel Graphics', 'Indie', 'Surreal', 'Story Rich', 'Cute', 'Singleplayer', 'Atmospheric', 'Puzzle', 'Dark', 'Open World', 'Casual', 'Psychedelic', 'Survival Horror', 'Colorful', 'Cartoony']"/>
  </r>
  <r>
    <x v="202"/>
    <n v="205950"/>
    <s v="Y"/>
    <n v="0"/>
    <x v="31"/>
    <x v="5"/>
    <d v="2012-09-19T00:00:00"/>
    <x v="201"/>
    <s v="SEGA"/>
    <n v="122"/>
    <n v="234"/>
    <x v="154"/>
    <n v="39"/>
    <n v="1262"/>
    <x v="42"/>
    <x v="42"/>
    <s v="['Great Soundtrack', 'Classic', 'Action', '3D Platformer', 'Singleplayer', 'Colorful', 'Platformer', 'Stylized', 'Arcade', 'Parkour', 'Third Person', 'Music', 'Controller', 'Skating', 'Retro', 'Atmospheric', 'Sports', 'Open World', 'Anime', 'Female Protagonist']"/>
  </r>
  <r>
    <x v="203"/>
    <n v="677620"/>
    <s v="Y"/>
    <n v="2"/>
    <x v="31"/>
    <x v="5"/>
    <d v="2019-05-24T00:00:00"/>
    <x v="202"/>
    <s v="1047 Games"/>
    <m/>
    <m/>
    <x v="0"/>
    <m/>
    <m/>
    <x v="28"/>
    <x v="28"/>
    <s v="['Free to Play', 'FPS', 'Multiplayer', 'Arena Shooter', 'Shooter', 'Action', 'Fast-Paced', 'PvP', 'First-Person', 'Competitive', 'Sci-fi', 'Indie', 'Team-Based', 'eSports', 'Tactical', 'Strategy', 'Online Co-Op', 'Physics', 'Co-op', 'Violent']"/>
  </r>
  <r>
    <x v="204"/>
    <n v="235210"/>
    <s v="Y"/>
    <n v="0"/>
    <x v="31"/>
    <x v="5"/>
    <d v="2014-02-19T00:00:00"/>
    <x v="203"/>
    <s v="Capcom"/>
    <n v="203"/>
    <n v="228"/>
    <x v="148"/>
    <n v="55"/>
    <n v="878"/>
    <x v="4"/>
    <x v="4"/>
    <s v="['Platformer', 'Metroidvania', 'Action', 'Ninja', 'Side Scroller', 'Hack and Slash', 'Reboot', '2.5D', 'Arcade', 'Adventure', 'Retro', 'Classic', 'Remake', 'Singleplayer', 'Fast-Paced', 'Sci-fi', 'Controller', '2D', 'Anime', 'Cyberpunk']"/>
  </r>
  <r>
    <x v="205"/>
    <n v="250110"/>
    <s v="Y"/>
    <n v="0"/>
    <x v="32"/>
    <x v="5"/>
    <d v="2015-09-23T00:00:00"/>
    <x v="204"/>
    <s v="Witch Beam"/>
    <n v="19"/>
    <n v="90"/>
    <x v="155"/>
    <n v="7"/>
    <n v="1790"/>
    <x v="8"/>
    <x v="8"/>
    <s v="['Bullet Hell', 'Twin Stick Shooter', &quot;Shoot 'Em Up&quot;, 'Difficult', 'Shooter', 'Female Protagonist', 'Arcade', 'Cute', 'Top-Down', '3D', 'Controller', 'Action', 'Sci-fi', 'Robots', '4 Player Local', 'Co-op', 'Local Co-Op', 'Local Multiplayer', 'Fast-Paced', 'Multiplayer']"/>
  </r>
  <r>
    <x v="206"/>
    <n v="274170"/>
    <s v="Y"/>
    <n v="0"/>
    <x v="32"/>
    <x v="5"/>
    <d v="2015-03-10T00:00:00"/>
    <x v="205"/>
    <s v="Devolver Digital"/>
    <n v="117"/>
    <n v="923"/>
    <x v="63"/>
    <n v="119"/>
    <n v="2172"/>
    <x v="24"/>
    <x v="24"/>
    <s v="['Great Soundtrack', 'Gore', 'Pixel Graphics', 'Violent', 'Action', 'Fast-Paced', 'Difficult', 'Top-Down', 'Retro', 'Indie', '1980s', 'Singleplayer', 'Top-Down Shooter', 'Atmospheric', '2D', 'Shooter', 'Level Editor', 'Arcade', &quot;1990's&quot;, 'Story Rich']"/>
  </r>
  <r>
    <x v="207"/>
    <n v="674940"/>
    <s v="Y"/>
    <n v="0"/>
    <x v="15"/>
    <x v="5"/>
    <d v="2017-09-28T00:00:00"/>
    <x v="206"/>
    <s v="Landfall"/>
    <n v="199"/>
    <m/>
    <x v="0"/>
    <m/>
    <m/>
    <x v="3"/>
    <x v="3"/>
    <s v="['Multiplayer', 'Funny', 'Fighting', 'Local Multiplayer', 'Action', '2D Fighter', '4 Player Local', 'PvP', '2D', 'Physics', 'Casual', 'Online Co-Op', 'Local Co-Op', 'Indie', 'Shooter', 'Controller', 'Co-op', 'Split Screen', 'Great Soundtrack', 'Strategy']"/>
  </r>
  <r>
    <x v="208"/>
    <n v="365660"/>
    <s v="Y"/>
    <n v="0"/>
    <x v="7"/>
    <x v="5"/>
    <d v="2015-08-11T00:00:00"/>
    <x v="207"/>
    <s v="Devolver Digital"/>
    <n v="157"/>
    <n v="41"/>
    <x v="156"/>
    <n v="8"/>
    <n v="1891"/>
    <x v="8"/>
    <x v="8"/>
    <s v="['Skateboarding', 'Indie', 'Sports', 'Action', 'Great Soundtrack', '4 Player Local', 'Local Multiplayer', 'Local Co-Op', 'Difficult', 'Skating', 'Singleplayer', '2D', 'Platformer']"/>
  </r>
  <r>
    <x v="209"/>
    <n v="356570"/>
    <s v="Y"/>
    <n v="0"/>
    <x v="7"/>
    <x v="5"/>
    <d v="2015-08-25T00:00:00"/>
    <x v="208"/>
    <s v="tinyBuild"/>
    <n v="163"/>
    <n v="160"/>
    <x v="157"/>
    <n v="83"/>
    <n v="916"/>
    <x v="8"/>
    <x v="8"/>
    <s v="['Pixel Graphics', 'Stealth', 'Strategy', 'Violent', 'Indie', 'Villain Protagonist', 'Action', 'Gore', 'Great Soundtrack', 'Singleplayer', 'Dark Humor', '2D', 'Crime', 'Retro', 'Difficult', 'Top-Down', 'Funny', 'Horror', 'Story Rich', 'Comedy']"/>
  </r>
  <r>
    <x v="210"/>
    <n v="979120"/>
    <s v="Y"/>
    <n v="1"/>
    <x v="89"/>
    <x v="5"/>
    <d v="2019-10-17T00:00:00"/>
    <x v="209"/>
    <s v="Curve Games"/>
    <n v="20"/>
    <n v="7"/>
    <x v="158"/>
    <n v="8"/>
    <n v="10463"/>
    <x v="55"/>
    <x v="55"/>
    <s v="['Automation', 'Programming', 'Simulation', 'Indie', 'Casual', 'Base Building', 'Colony Sim', 'Crafting', 'Cute', 'Sandbox', 'Resource Management', 'Building', 'Farming Sim', 'Management', 'Agriculture', 'Relaxing', 'Strategy', 'Robots', 'Singleplayer', 'City Builder']"/>
  </r>
  <r>
    <x v="211"/>
    <n v="322500"/>
    <s v="Y"/>
    <n v="0"/>
    <x v="89"/>
    <x v="5"/>
    <d v="2016-02-25T00:00:00"/>
    <x v="210"/>
    <s v="SUPERHOT Team"/>
    <n v="206"/>
    <n v="2100"/>
    <x v="159"/>
    <n v="144"/>
    <n v="1200"/>
    <x v="23"/>
    <x v="23"/>
    <s v="['Action', 'FPS', 'Bullet Time', 'Time Manipulation', 'Indie', 'Singleplayer', 'First-Person', 'Shooter', 'Puzzle', 'Minimalist', 'Short', 'Difficult', 'Cyberpunk', 'Fast-Paced', 'Violent', 'Sci-fi', 'Casual', 'Gore', 'Adventure', 'Story Rich']"/>
  </r>
  <r>
    <x v="212"/>
    <n v="552500"/>
    <s v="Y"/>
    <n v="0"/>
    <x v="89"/>
    <x v="5"/>
    <d v="2018-03-08T00:00:00"/>
    <x v="211"/>
    <s v="Fatshark"/>
    <n v="236"/>
    <n v="181"/>
    <x v="160"/>
    <n v="42"/>
    <n v="7737"/>
    <x v="0"/>
    <x v="0"/>
    <s v="['Co-op', 'Dark Fantasy', 'Hack and Slash', 'Online Co-Op', 'Multiplayer', 'Dwarves', 'Gore', 'PvE', 'First-Person', 'Fantasy', 'RPG', 'Elves', 'Roguelite', 'Combat', 'Action RPG', 'Action', 'Atmospheric', 'FPS', 'Singleplayer', 'Adventure']"/>
  </r>
  <r>
    <x v="213"/>
    <n v="471810"/>
    <s v="Y"/>
    <n v="0"/>
    <x v="8"/>
    <x v="5"/>
    <d v="2017-03-13T00:00:00"/>
    <x v="212"/>
    <s v="SMG Studio"/>
    <n v="55"/>
    <n v="34"/>
    <x v="51"/>
    <n v="22"/>
    <n v="570"/>
    <x v="1"/>
    <x v="1"/>
    <s v="['Puzzle', 'Local Co-Op', 'Co-op', 'Funny', 'Sokoban', '4 Player Local', 'Minimalist', 'Family Friendly', 'Singleplayer', 'Casual', 'Indie', 'Local Multiplayer', 'Robots', 'Co-op Campaign', 'Artificial Intelligence', 'Controller', 'Difficult', 'Satire', 'Dark Humor', 'Dynamic Narration']"/>
  </r>
  <r>
    <x v="214"/>
    <n v="363440"/>
    <s v="Y"/>
    <n v="0"/>
    <x v="90"/>
    <x v="5"/>
    <d v="2015-08-24T00:00:00"/>
    <x v="213"/>
    <s v="Capcom"/>
    <n v="138"/>
    <n v="102"/>
    <x v="161"/>
    <n v="20"/>
    <n v="2295"/>
    <x v="8"/>
    <x v="8"/>
    <s v="['Platformer', 'Retro', 'Classic', 'Action', '2D', 'Pixel Graphics', 'Great Soundtrack', 'Difficult', 'Singleplayer', 'Side Scroller', 'Sci-fi', '1980s', 'Robots', &quot;1990's&quot;, 'Remake', 'Shooter', 'Anime', 'Old School', 'Controller', '2D Platformer']"/>
  </r>
  <r>
    <x v="215"/>
    <n v="857980"/>
    <s v="Y"/>
    <n v="0"/>
    <x v="90"/>
    <x v="5"/>
    <d v="2019-05-28T00:00:00"/>
    <x v="214"/>
    <s v="Blue Manchu"/>
    <n v="234"/>
    <n v="119"/>
    <x v="162"/>
    <n v="13"/>
    <n v="1920"/>
    <x v="28"/>
    <x v="28"/>
    <s v="['FPS', 'Action Roguelike', 'Singleplayer', 'Shooter', 'Extraction Shooter', 'Roguelike', 'Immersive Sim', 'Stealth', 'Comic Book', 'First-Person', 'Procedural Generation', 'Strategy', 'Stylized', 'Space', 'Sci-fi', 'Action', 'Crafting', 'Indie', 'Roguelite', 'Gore']"/>
  </r>
  <r>
    <x v="216"/>
    <n v="447150"/>
    <s v="Y"/>
    <n v="0"/>
    <x v="91"/>
    <x v="5"/>
    <d v="2019-02-28T00:00:00"/>
    <x v="215"/>
    <s v="Devolver Digital"/>
    <n v="15"/>
    <n v="552"/>
    <x v="35"/>
    <n v="16"/>
    <n v="755"/>
    <x v="33"/>
    <x v="33"/>
    <s v="['Violent', 'Gore', 'Indie', 'Top-Down', 'Action', 'Fast-Paced', 'Singleplayer', 'Stylized', 'Difficult', &quot;Beat 'em up&quot;, 'Music', '2D', 'Arcade', 'Top-Down Shooter', 'Music-Based Procedural Generation', 'Atmospheric', 'Casual', 'Soundtrack', 'Surreal', 'Great Soundtrack']"/>
  </r>
  <r>
    <x v="217"/>
    <n v="243970"/>
    <s v="Y"/>
    <n v="0"/>
    <x v="91"/>
    <x v="5"/>
    <d v="2015-05-12T00:00:00"/>
    <x v="216"/>
    <s v="Klei Entertainment"/>
    <n v="121"/>
    <n v="127"/>
    <x v="163"/>
    <n v="7"/>
    <n v="5085"/>
    <x v="30"/>
    <x v="30"/>
    <s v="['Cyberpunk', 'Turn-Based Tactics', 'Difficult', 'Isometric', 'Strategy', 'Stealth', 'Tactical RPG', 'Roguelite', 'Sci-fi', 'Tactical', 'Turn-Based', 'Perma Death', 'Roguelike', 'Procedural Generation', 'Female Protagonist', 'Choices Matter', 'Turn-Based Strategy', 'Turn-Based Combat', 'Simulation', 'Singleplayer']"/>
  </r>
  <r>
    <x v="218"/>
    <n v="424840"/>
    <s v="Y"/>
    <n v="0"/>
    <x v="33"/>
    <x v="5"/>
    <d v="2017-04-27T00:00:00"/>
    <x v="217"/>
    <s v="BANDAI NAMCO Entertainment"/>
    <n v="129"/>
    <n v="2300"/>
    <x v="128"/>
    <n v="301"/>
    <n v="568"/>
    <x v="25"/>
    <x v="25"/>
    <s v="['Horror', 'Atmospheric', 'Adventure', 'Singleplayer', 'Puzzle Platformer', 'Dark', 'Puzzle', 'Indie', 'Story Rich', 'Stealth', 'Psychological Horror', 'Platformer', 'Great Soundtrack', '2.5D', 'Survival Horror', 'Third Person', 'Multiplayer', 'Female Protagonist', 'Short', 'Action']"/>
  </r>
  <r>
    <x v="219"/>
    <n v="2149010"/>
    <s v="Y"/>
    <n v="0"/>
    <x v="33"/>
    <x v="5"/>
    <d v="2025-10-09T00:00:00"/>
    <x v="218"/>
    <s v="Bandai Namco Entertainment"/>
    <n v="130"/>
    <n v="2300"/>
    <x v="128"/>
    <n v="301"/>
    <n v="568"/>
    <x v="63"/>
    <x v="63"/>
    <s v="['Adventure', 'Puzzle', 'Platformer', 'Puzzle Platformer', '2.5D', 'Horror', 'Atmospheric', 'Dark', 'Third Person', 'Psychological Horror', 'Singleplayer', 'Stealth', 'Story Rich', 'Survival Horror', 'Female Protagonist', 'Short']"/>
  </r>
  <r>
    <x v="220"/>
    <n v="367450"/>
    <s v="Y"/>
    <n v="0"/>
    <x v="33"/>
    <x v="5"/>
    <d v="2016-07-12T00:00:00"/>
    <x v="219"/>
    <s v="Dry Cactus"/>
    <n v="166"/>
    <n v="8"/>
    <x v="164"/>
    <n v="22"/>
    <n v="2256"/>
    <x v="18"/>
    <x v="18"/>
    <s v="['Building', 'Physics', 'Simulation', 'Puzzle', 'Singleplayer', 'Sandbox', 'Difficult', 'Indie', 'Family Friendly', 'Funny', 'Level Editor', 'Education', 'Great Soundtrack', 'Crafting', 'Cartoon', 'Colorful', 'Cute', 'Stylized', 'Strategy', 'Choices Matter']"/>
  </r>
  <r>
    <x v="221"/>
    <n v="290510"/>
    <s v="Y"/>
    <n v="0"/>
    <x v="55"/>
    <x v="5"/>
    <d v="2018-07-17T00:00:00"/>
    <x v="220"/>
    <s v="KO_OP"/>
    <n v="100"/>
    <n v="185"/>
    <x v="165"/>
    <n v="150"/>
    <n v="127"/>
    <x v="9"/>
    <x v="9"/>
    <s v="['Indie', 'Casual', 'Adventure', 'Puzzle', 'VR', 'Colorful', 'Point &amp; Click', 'Great Soundtrack', 'Singleplayer', 'Short']"/>
  </r>
  <r>
    <x v="222"/>
    <n v="342280"/>
    <s v="Y"/>
    <n v="11"/>
    <x v="55"/>
    <x v="5"/>
    <d v="2015-12-07T00:00:00"/>
    <x v="221"/>
    <s v="Anyland + Manyland"/>
    <m/>
    <m/>
    <x v="0"/>
    <m/>
    <m/>
    <x v="21"/>
    <x v="21"/>
    <s v="['Massively Multiplayer', 'Indie', 'Adventure', 'Action', 'Sandbox', 'Pixel Graphics', '2D', 'Open World']"/>
  </r>
  <r>
    <x v="223"/>
    <n v="661940"/>
    <s v="Y"/>
    <n v="0"/>
    <x v="55"/>
    <x v="5"/>
    <d v="2018-08-01T00:00:00"/>
    <x v="222"/>
    <s v="Powerhoof"/>
    <n v="174"/>
    <m/>
    <x v="0"/>
    <m/>
    <m/>
    <x v="9"/>
    <x v="9"/>
    <s v="['Mechs', 'Basketball', 'Funny', 'Party Game', 'Local Multiplayer', 'Multiplayer', 'Sports', 'Comedy', 'Indie', 'Local Co-Op', 'Online Co-Op', '4 Player Local', 'Competitive', 'Transhumanism', 'Controller', 'Action', 'Platformer', '2D Platformer', 'Split Screen', '2D']"/>
  </r>
  <r>
    <x v="224"/>
    <n v="589510"/>
    <s v="Y"/>
    <n v="1"/>
    <x v="55"/>
    <x v="5"/>
    <d v="2017-04-05T00:00:00"/>
    <x v="223"/>
    <s v="Yacht Club Games"/>
    <n v="190"/>
    <n v="247"/>
    <x v="166"/>
    <n v="64"/>
    <n v="483"/>
    <x v="25"/>
    <x v="25"/>
    <s v="['Action', 'Indie', 'Adventure', 'Platformer', 'Pixel Graphics', '2D', 'Retro', 'Singleplayer', 'Great Soundtrack', 'Side Scroller', 'Metroidvania', 'Difficult']"/>
  </r>
  <r>
    <x v="225"/>
    <n v="589780"/>
    <s v="Y"/>
    <n v="0"/>
    <x v="56"/>
    <x v="5"/>
    <d v="2018-01-22T00:00:00"/>
    <x v="224"/>
    <s v="Devolver Digital"/>
    <n v="216"/>
    <n v="340"/>
    <x v="167"/>
    <n v="71"/>
    <n v="438"/>
    <x v="0"/>
    <x v="0"/>
    <s v="['Cyberpunk', 'Pixel Graphics', 'Story Rich', 'Choices Matter', 'Great Soundtrack', 'Atmospheric', 'Indie', 'Adventure', 'LGBTQ+', 'Point &amp; Click', 'Singleplayer', 'Visual Novel', 'Sci-fi', '2D', 'Nudity', 'Dystopian', 'Philosophical', 'Violent', 'Puzzle', 'Retro']"/>
  </r>
  <r>
    <x v="226"/>
    <n v="445980"/>
    <s v="Y"/>
    <n v="0"/>
    <x v="56"/>
    <x v="5"/>
    <d v="2018-05-15T00:00:00"/>
    <x v="225"/>
    <s v="Contingent99"/>
    <n v="238"/>
    <n v="61"/>
    <x v="168"/>
    <n v="70"/>
    <n v="1669"/>
    <x v="7"/>
    <x v="7"/>
    <s v="['Action Roguelike', 'Pixel Graphics', 'Roguelike', 'Dungeon Crawler', 'Local Co-Op', 'Magic', 'Action', 'Multiplayer', 'Roguelite', 'Adventure', 'Co-op', 'Indie', 'Difficult', 'Local Multiplayer', 'Hack and Slash', '2D', 'Singleplayer', 'RPG', 'Procedural Generation', 'Fast-Paced']"/>
  </r>
  <r>
    <x v="227"/>
    <n v="315460"/>
    <s v="Y"/>
    <n v="0"/>
    <x v="35"/>
    <x v="5"/>
    <d v="2018-07-10T00:00:00"/>
    <x v="226"/>
    <s v="Gaddy Games"/>
    <n v="67"/>
    <n v="9"/>
    <x v="169"/>
    <n v="1"/>
    <n v="2134"/>
    <x v="9"/>
    <x v="9"/>
    <s v="['Survival', 'Open World Survival Craft', 'Sandbox', 'Crafting', '2D', 'Open World', 'Indie', 'Strategy', 'Action', 'Tower Defense', 'Multiplayer', 'Building', 'Base Building', 'Co-op', 'Physics', 'Pixel Graphics', 'RPG', 'Singleplayer', 'Adventure', 'Early Access']"/>
  </r>
  <r>
    <x v="228"/>
    <n v="322450"/>
    <s v="Y"/>
    <n v="0"/>
    <x v="35"/>
    <x v="5"/>
    <d v="2018-05-17T00:00:00"/>
    <x v="227"/>
    <s v="Fellow Traveller"/>
    <n v="93"/>
    <n v="116"/>
    <x v="170"/>
    <n v="124"/>
    <n v="209"/>
    <x v="7"/>
    <x v="7"/>
    <s v="['Puzzle', 'Casual', 'Indie', 'Comic Book', 'Adventure', 'Noir', 'Singleplayer', 'Minimalist', 'Touch-Friendly', 'Heist', 'Family Friendly', 'Point &amp; Click', 'Great Soundtrack', 'Strategy', '2D', 'Cartoon', 'Music', 'Puzzle Platformer', 'Platformer', 'Addictive']"/>
  </r>
  <r>
    <x v="229"/>
    <n v="297120"/>
    <s v="Y"/>
    <n v="0"/>
    <x v="9"/>
    <x v="5"/>
    <d v="2014-09-18T00:00:00"/>
    <x v="228"/>
    <s v="Devolver Digital"/>
    <n v="112"/>
    <n v="13"/>
    <x v="171"/>
    <n v="1"/>
    <n v="1440"/>
    <x v="5"/>
    <x v="5"/>
    <s v="['Indie', 'Action', 'FPS', 'Action Roguelike', 'Roguelike', 'Roguelite', 'Shooter', 'Singleplayer', 'First-Person', 'Difficult', 'Retro', 'Dungeon Crawler', 'Perma Death', 'Psychedelic', 'Horror', 'Colorful', 'Boomer Shooter', 'Procedural Generation', 'Bullet Hell', 'Adventure']"/>
  </r>
  <r>
    <x v="230"/>
    <n v="274270"/>
    <s v="Y"/>
    <n v="0"/>
    <x v="9"/>
    <x v="5"/>
    <d v="2016-07-08T00:00:00"/>
    <x v="229"/>
    <s v="Devolver Digital"/>
    <n v="154"/>
    <n v="37"/>
    <x v="172"/>
    <n v="32"/>
    <n v="636"/>
    <x v="18"/>
    <x v="18"/>
    <s v="['Pixel Graphics', 'Action', 'Indie', 'Comedy', 'Adventure', 'Shooter', 'Gore', '2D', 'Funny', 'Political', 'Great Soundtrack', 'Singleplayer', 'Violent', 'Platformer', 'Difficult', 'Fast-Paced', &quot;Shoot 'Em Up&quot;, 'Retro', 'Multiplayer']"/>
  </r>
  <r>
    <x v="231"/>
    <n v="600990"/>
    <s v="Y"/>
    <n v="0"/>
    <x v="9"/>
    <x v="5"/>
    <d v="2018-09-19T00:00:00"/>
    <x v="230"/>
    <s v="The Voxel Agents"/>
    <n v="213"/>
    <n v="407"/>
    <x v="159"/>
    <n v="420"/>
    <n v="166"/>
    <x v="9"/>
    <x v="9"/>
    <s v="['Puzzle Platformer', 'Hidden Object', 'Puzzle', 'Walking Simulator', 'Female Protagonist', '3D', 'Relaxing', 'Surreal', 'Linear', 'Story Rich', 'Time Manipulation', 'Stylized', 'Minimalist', 'Family Friendly', 'Logic', 'Time Travel', 'Atmospheric', 'Emotional', 'Mystery', 'Adventure']"/>
  </r>
  <r>
    <x v="232"/>
    <n v="266110"/>
    <s v="Y"/>
    <n v="0"/>
    <x v="9"/>
    <x v="5"/>
    <d v="2014-03-04T00:00:00"/>
    <x v="231"/>
    <s v="Terrible Posture Games"/>
    <n v="228"/>
    <n v="35"/>
    <x v="173"/>
    <n v="21"/>
    <n v="842"/>
    <x v="4"/>
    <x v="4"/>
    <s v="['Boomer Shooter', 'Replay Value', 'Bullet Heaven', 'Comic Book', 'First-Person', 'Action', 'Shooter', 'Indie', 'Fast-Paced', 'Stylized', 'Difficult', 'FPS', 'Singleplayer', 'Action Roguelike', 'Roguelite', 'Procedural Generation', 'Roguelike', 'Sci-fi', 'Perma Death', 'Comedy']"/>
  </r>
  <r>
    <x v="233"/>
    <n v="311340"/>
    <s v="Y"/>
    <n v="0"/>
    <x v="57"/>
    <x v="5"/>
    <d v="2014-12-18T00:00:00"/>
    <x v="232"/>
    <s v="KONAMI"/>
    <n v="140"/>
    <n v="1900"/>
    <x v="174"/>
    <n v="309"/>
    <n v="1312"/>
    <x v="64"/>
    <x v="64"/>
    <s v="['Stealth', 'Action', 'Tactical', 'Short', 'Singleplayer', 'Third Person', 'Story Rich', 'Cinematic', 'Open World', 'Replay Value', 'Atmospheric', 'Great Soundtrack', 'Adventure', 'Third-Person Shooter', 'Shooter', 'Sandbox', 'Classic', 'Cold War', 'Dark', 'Espionage']"/>
  </r>
  <r>
    <x v="234"/>
    <n v="274520"/>
    <s v="Y"/>
    <n v="0"/>
    <x v="10"/>
    <x v="5"/>
    <d v="2017-08-17T00:00:00"/>
    <x v="233"/>
    <s v="Hooded Horse"/>
    <n v="52"/>
    <n v="62"/>
    <x v="175"/>
    <n v="17"/>
    <n v="2497"/>
    <x v="3"/>
    <x v="3"/>
    <s v="['Horror', 'Survival Horror', 'Adventure', 'Action', 'Psychological Horror', 'RPG', 'Dark', 'Atmospheric', 'Survival', 'Exploration', 'Story Rich', 'Open World', 'Dark Fantasy', 'Fantasy', 'Singleplayer', 'Action-Adventure', 'Multiple Endings', 'Choices Matter', 'Combat', 'Supernatural']"/>
  </r>
  <r>
    <x v="235"/>
    <n v="1086010"/>
    <s v="Y"/>
    <n v="0"/>
    <x v="58"/>
    <x v="5"/>
    <d v="2019-06-20T00:00:00"/>
    <x v="234"/>
    <s v="Hi-Bit Studios"/>
    <n v="0"/>
    <n v="291"/>
    <x v="176"/>
    <n v="41"/>
    <n v="155"/>
    <x v="28"/>
    <x v="28"/>
    <s v="['Indie', 'Retro', 'Pixel Graphics', '1980s', 'Arcade', &quot;Beat 'em up&quot;, 'Great Soundtrack', 'Short', '2D', 'Singleplayer', &quot;Shoot 'Em Up&quot;, 'Action', 'Story Rich']"/>
  </r>
  <r>
    <x v="236"/>
    <n v="1085510"/>
    <s v="Y"/>
    <n v="0"/>
    <x v="58"/>
    <x v="5"/>
    <d v="2019-11-06T00:00:00"/>
    <x v="235"/>
    <s v="Microids"/>
    <n v="97"/>
    <n v="35"/>
    <x v="177"/>
    <n v="36"/>
    <n v="749"/>
    <x v="55"/>
    <x v="55"/>
    <s v="['Racing', 'PvP', 'Sports', 'Competitive', 'Arcade', 'Third Person', 'Cute', 'Split Screen', 'Funny', 'Casual', 'Cartoony', 'Family Friendly', 'Cats', 'Comedy', 'Co-op', 'Multiplayer', 'Singleplayer', 'Local Multiplayer', 'Great Soundtrack', 'Classic']"/>
  </r>
  <r>
    <x v="237"/>
    <n v="489140"/>
    <s v="Y"/>
    <n v="0"/>
    <x v="58"/>
    <x v="5"/>
    <d v="2017-04-13T00:00:00"/>
    <x v="236"/>
    <s v="tinyBuild"/>
    <n v="149"/>
    <n v="137"/>
    <x v="178"/>
    <n v="21"/>
    <n v="543"/>
    <x v="25"/>
    <x v="25"/>
    <s v="['Action', 'Indie', 'Adventure', 'Top-Down', &quot;Beat 'em up&quot;, 'Singleplayer', 'Fast-Paced', 'Great Soundtrack', 'Difficult', 'Bullet Time', 'Superhero', 'Comic Book', 'Assassins', 'Destruction', 'Arcade', 'Time Attack', 'Heist', 'Action-Adventure', 'Character Action Game', 'Top-Down Shooter']"/>
  </r>
  <r>
    <x v="238"/>
    <n v="690040"/>
    <s v="Y"/>
    <n v="0"/>
    <x v="58"/>
    <x v="5"/>
    <d v="2020-07-16T00:00:00"/>
    <x v="237"/>
    <s v="SUPERHOT Team"/>
    <n v="207"/>
    <n v="116"/>
    <x v="179"/>
    <n v="193"/>
    <n v="905"/>
    <x v="34"/>
    <x v="34"/>
    <s v="['FPS', 'Time Manipulation', 'Bullet Time', 'Action Roguelike', 'Shooter', 'Action', 'Difficult', 'Experimental', 'Minimalist', 'First-Person', 'Puzzle', 'Stylized', 'Dystopian', 'Atmospheric', 'Cyberpunk', 'Beautiful', 'Singleplayer', 'Transhumanism', 'Cinematic', 'Old School']"/>
  </r>
  <r>
    <x v="239"/>
    <n v="225080"/>
    <s v="Y"/>
    <n v="0"/>
    <x v="12"/>
    <x v="5"/>
    <d v="2013-09-03T00:00:00"/>
    <x v="238"/>
    <s v="505 Games"/>
    <n v="33"/>
    <n v="2300"/>
    <x v="180"/>
    <n v="1400"/>
    <n v="245"/>
    <x v="17"/>
    <x v="17"/>
    <s v="['Adventure', 'Atmospheric', 'Story Rich', 'Controller', 'Indie', 'Emotional', 'Puzzle', 'Short', 'Fantasy', 'Singleplayer', 'Beautiful', 'Great Soundtrack', 'Local Co-Op', 'Multiplayer', 'Action', 'Platformer', 'Third Person', 'Casual', 'Walking Simulator', 'Colorful']"/>
  </r>
  <r>
    <x v="240"/>
    <n v="224760"/>
    <s v="Y"/>
    <n v="0"/>
    <x v="12"/>
    <x v="5"/>
    <d v="2013-05-01T00:00:00"/>
    <x v="239"/>
    <s v="Trapdoor"/>
    <n v="90"/>
    <n v="553"/>
    <x v="181"/>
    <n v="657"/>
    <n v="728"/>
    <x v="22"/>
    <x v="22"/>
    <s v="['Platformer', 'Indie', 'Puzzle', 'Pixel Graphics', 'Exploration', 'Great Soundtrack', 'Singleplayer', 'Adventure', 'Casual', 'Mystery', 'Puzzle Platformer', '2D', 'Beautiful', 'Relaxing', 'Atmospheric', '2.5D', 'Cute', 'Retro', 'Controller', 'Metroidvania']"/>
  </r>
  <r>
    <x v="241"/>
    <n v="916730"/>
    <s v="Y"/>
    <n v="0"/>
    <x v="12"/>
    <x v="5"/>
    <d v="2019-05-30T00:00:00"/>
    <x v="240"/>
    <s v="Devolver Digital"/>
    <n v="99"/>
    <n v="287"/>
    <x v="156"/>
    <n v="255"/>
    <n v="279"/>
    <x v="28"/>
    <x v="28"/>
    <s v="['Indie', 'Metroidvania', 'Action', 'Pixel Graphics', 'Adventure', '2D', 'Cats', 'Platformer', 'Retro', 'Singleplayer', 'Cute', 'Side Scroller', 'Exploration', 'Sci-fi', 'Controller', 'Difficult', 'Short', 'Female Protagonist', 'Great Soundtrack', 'Open World']"/>
  </r>
  <r>
    <x v="242"/>
    <n v="40700"/>
    <s v="Y"/>
    <n v="0"/>
    <x v="12"/>
    <x v="5"/>
    <d v="2009-10-16T00:00:00"/>
    <x v="241"/>
    <s v="Amanita Design"/>
    <n v="132"/>
    <n v="478"/>
    <x v="182"/>
    <n v="452"/>
    <n v="331"/>
    <x v="36"/>
    <x v="36"/>
    <s v="['Point &amp; Click', 'Puzzle', 'Hand-drawn', 'Robots', 'Steampunk', '2D', 'Atmospheric', 'Story Rich', 'Adventure', 'Casual', 'Cute', 'Family Friendly', 'Surreal', 'Stylized', 'Sci-fi', 'Linear', 'Singleplayer', 'Indie', 'Great Soundtrack', 'Touch-Friendly']"/>
  </r>
  <r>
    <x v="243"/>
    <n v="274250"/>
    <s v="Y"/>
    <n v="0"/>
    <x v="12"/>
    <x v="5"/>
    <d v="2014-07-22T00:00:00"/>
    <x v="242"/>
    <s v="Devolver Digital"/>
    <n v="156"/>
    <n v="64"/>
    <x v="183"/>
    <n v="18"/>
    <n v="857"/>
    <x v="5"/>
    <x v="5"/>
    <s v="['Skateboarding', 'Indie', 'Sports', '2D', 'Pixel Graphics', 'Platformer', 'Singleplayer', 'Great Soundtrack', 'Arcade', 'Action', 'Skating', 'Difficult', 'Casual']"/>
  </r>
  <r>
    <x v="244"/>
    <n v="365450"/>
    <s v="Y"/>
    <n v="0"/>
    <x v="13"/>
    <x v="5"/>
    <d v="2015-08-12T00:00:00"/>
    <x v="243"/>
    <s v="Fellow Traveller"/>
    <n v="104"/>
    <n v="175"/>
    <x v="184"/>
    <n v="182"/>
    <n v="700"/>
    <x v="8"/>
    <x v="8"/>
    <s v="['Hacking', 'Simulation', 'Programming', 'Typing', 'Story Rich', 'Singleplayer', 'Great Soundtrack', 'Choices Matter', 'Crime', 'Atmospheric', 'Detective', 'Cyberpunk', 'Logic', 'Education', '2D', 'Difficult', 'Adventure', 'Sci-fi', 'Dystopian', 'Indie']"/>
  </r>
  <r>
    <x v="245"/>
    <n v="447780"/>
    <s v="Y"/>
    <n v="0"/>
    <x v="13"/>
    <x v="5"/>
    <d v="2016-03-24T00:00:00"/>
    <x v="244"/>
    <s v="Frontier Developments"/>
    <n v="131"/>
    <n v="30"/>
    <x v="185"/>
    <n v="67"/>
    <n v="165"/>
    <x v="23"/>
    <x v="23"/>
    <s v="['Adventure', 'Platformer', 'Singleplayer', 'Casual', 'Family Friendly', 'Metroidvania', 'Puzzle Platformer', 'Puzzle', 'Indie', 'Atmospheric', 'Great Soundtrack', 'Short', 'Cute', '2.5D', 'Side Scroller']"/>
  </r>
  <r>
    <x v="246"/>
    <n v="351510"/>
    <s v="Y"/>
    <n v="0"/>
    <x v="36"/>
    <x v="5"/>
    <d v="2015-06-30T00:00:00"/>
    <x v="245"/>
    <s v="Jackbox Games, Inc."/>
    <n v="172"/>
    <m/>
    <x v="0"/>
    <m/>
    <m/>
    <x v="30"/>
    <x v="30"/>
    <s v="['Casual', 'Multiplayer', 'Comedy', 'Indie', 'Strategy', 'Co-op', 'Local Multiplayer', 'Party Game', 'Family Friendly', 'Party', 'Funny', 'Board Game', 'Trivia']"/>
  </r>
  <r>
    <x v="247"/>
    <n v="22000"/>
    <s v="Y"/>
    <n v="0"/>
    <x v="37"/>
    <x v="5"/>
    <d v="2008-10-13T00:00:00"/>
    <x v="246"/>
    <s v="2D BOY"/>
    <n v="240"/>
    <n v="292"/>
    <x v="86"/>
    <n v="51"/>
    <n v="885"/>
    <x v="39"/>
    <x v="39"/>
    <s v="['Puzzle', 'Indie', 'Physics', 'Singleplayer', 'Great Soundtrack', 'Casual', '2D', 'Cute', 'Comedy', 'Building', 'Atmospheric', 'Funny', 'Classic', 'Satire', 'Surreal', 'Touch-Friendly', 'Difficult', 'Story Rich', 'Strategy', 'Family Friendly']"/>
  </r>
  <r>
    <x v="248"/>
    <n v="664830"/>
    <s v="Y"/>
    <n v="0"/>
    <x v="37"/>
    <x v="5"/>
    <d v="2019-04-22T00:00:00"/>
    <x v="247"/>
    <s v="Ant.Karlov Games"/>
    <n v="244"/>
    <n v="12"/>
    <x v="154"/>
    <n v="12"/>
    <n v="488"/>
    <x v="28"/>
    <x v="28"/>
    <s v="['Action', '2D', 'Adventure', 'Singleplayer', 'Indie', 'Zombies', 'Shooter', 'Sci-fi', 'Platformer', &quot;Shoot 'Em Up&quot;, 'Side Scroller', 'Great Soundtrack', 'Difficult', 'Action-Adventure', 'Remake', 'RPG', 'Atmospheric', 'Aliens', 'Action RPG', 'Colorful']"/>
  </r>
  <r>
    <x v="249"/>
    <n v="409160"/>
    <s v="Y"/>
    <n v="3"/>
    <x v="59"/>
    <x v="5"/>
    <d v="2015-12-04T00:00:00"/>
    <x v="248"/>
    <s v="Crows Crows Crows"/>
    <m/>
    <m/>
    <x v="0"/>
    <m/>
    <m/>
    <x v="21"/>
    <x v="21"/>
    <s v="['Free to Play', 'Comedy', 'First-Person', 'Indie', 'Walking Simulator', 'Funny', 'Short', 'Singleplayer', 'Heist', 'Stealth', 'Story Rich', 'Experimental', 'Adventure', 'Casual', 'Atmospheric', 'Satire', 'Puzzle', 'Action', 'Psychological Horror', 'Horror']"/>
  </r>
  <r>
    <x v="250"/>
    <n v="963000"/>
    <s v="Y"/>
    <n v="0"/>
    <x v="59"/>
    <x v="5"/>
    <d v="2018-11-22T00:00:00"/>
    <x v="249"/>
    <s v="worm club"/>
    <n v="94"/>
    <n v="263"/>
    <x v="186"/>
    <n v="586"/>
    <n v="48"/>
    <x v="27"/>
    <x v="27"/>
    <s v="['Comedy', 'Short', 'Funny', 'Casual', 'Cute', 'Detective', 'Mystery', 'Relaxing', 'Colorful', 'Exploration', 'Investigation', 'Walking Simulator', 'Point &amp; Click', 'Adventure', 'Interactive Fiction', 'Singleplayer', 'Soundtrack', 'Indie', 'Great Soundtrack', 'Story Rich']"/>
  </r>
  <r>
    <x v="251"/>
    <n v="1168880"/>
    <s v="Y"/>
    <n v="0"/>
    <x v="59"/>
    <x v="5"/>
    <d v="2019-11-19T00:00:00"/>
    <x v="250"/>
    <s v="Zachtronics"/>
    <n v="145"/>
    <n v="11"/>
    <x v="187"/>
    <n v="11"/>
    <n v="1566"/>
    <x v="55"/>
    <x v="55"/>
    <s v="['Simulation', 'Puzzle', 'Programming', 'Indie', 'Singleplayer', 'Science', 'Automation', 'Logic']"/>
  </r>
  <r>
    <x v="252"/>
    <n v="210970"/>
    <s v="Y"/>
    <n v="0"/>
    <x v="92"/>
    <x v="5"/>
    <d v="2016-01-26T00:00:00"/>
    <x v="251"/>
    <s v="Thekla, Inc."/>
    <n v="221"/>
    <n v="512"/>
    <x v="188"/>
    <n v="227"/>
    <n v="2388"/>
    <x v="23"/>
    <x v="23"/>
    <s v="['Puzzle', 'Exploration', 'First-Person', 'Open World', 'Singleplayer', 'Colorful', 'Indie', 'Atmospheric', 'Difficult', 'Walking Simulator', 'Adventure', 'Mystery', 'Nonlinear', 'Philosophical', 'Relaxing', 'Surreal', 'Casual', 'Great Soundtrack', 'Beautiful', 'Story Rich']"/>
  </r>
  <r>
    <x v="253"/>
    <n v="545040"/>
    <s v="Y"/>
    <n v="0"/>
    <x v="93"/>
    <x v="5"/>
    <d v="2019-04-05T00:00:00"/>
    <x v="252"/>
    <s v="Samurai Punk"/>
    <n v="89"/>
    <n v="21"/>
    <x v="189"/>
    <n v="38"/>
    <n v="41"/>
    <x v="28"/>
    <x v="28"/>
    <s v="['Exploration', 'Flight', 'Sandbox', 'Nature', 'Third Person', 'Relaxing', 'Open World', 'Casual', 'Simulation', 'Stylized', 'Atmospheric', 'Co-op', 'Adventure', 'Multiplayer', 'Online Co-Op', 'Singleplayer', 'Music', 'Indie', 'Walking Simulator', 'Birds']"/>
  </r>
  <r>
    <x v="254"/>
    <n v="7670"/>
    <s v="N"/>
    <m/>
    <x v="14"/>
    <x v="5"/>
    <d v="2007-08-21T00:00:00"/>
    <x v="253"/>
    <s v="2K"/>
    <n v="24"/>
    <n v="3700"/>
    <x v="114"/>
    <n v="805"/>
    <n v="1456"/>
    <x v="65"/>
    <x v="65"/>
    <s v="['FPS', 'Atmospheric', 'Story Rich', 'Action', 'Singleplayer', 'Horror', 'Steampunk', 'First-Person', 'Shooter', 'Sci-fi', 'Classic', 'RPG', 'Dystopian', 'Adventure', 'Underwater', 'Immersive', 'Dark', 'Political', 'Great Soundtrack', 'Alternate History']"/>
  </r>
  <r>
    <x v="255"/>
    <n v="1276390"/>
    <s v="N"/>
    <m/>
    <x v="14"/>
    <x v="5"/>
    <d v="2021-11-30T00:00:00"/>
    <x v="254"/>
    <s v="Ninja Kiwi"/>
    <m/>
    <m/>
    <x v="0"/>
    <m/>
    <m/>
    <x v="66"/>
    <x v="66"/>
    <s v="['Free to Play', 'Tower Defense', 'Multiplayer', 'Competitive', 'Strategy', 'PvP', 'Indie', 'Action', 'Family Friendly', 'Colorful', 'Real Time Tactics', 'Cartoony', 'Tactical', 'Sandbox', '3D', 'Casual', 'Top-Down', 'Character Customization', 'Funny', 'Difficult']"/>
  </r>
  <r>
    <x v="256"/>
    <n v="638200"/>
    <s v="N"/>
    <m/>
    <x v="14"/>
    <x v="5"/>
    <d v="2001-12-17T00:00:00"/>
    <x v="255"/>
    <s v="Enlight Software Limited"/>
    <n v="34"/>
    <n v="1"/>
    <x v="190"/>
    <m/>
    <m/>
    <x v="67"/>
    <x v="67"/>
    <s v="['Economy', 'Simulation', 'Capitalism', 'Management', 'Strategy', 'Indie', 'Villain Protagonist', 'RTS', 'Classic']"/>
  </r>
  <r>
    <x v="257"/>
    <n v="25800"/>
    <s v="N"/>
    <m/>
    <x v="14"/>
    <x v="5"/>
    <d v="2007-01-23T00:00:00"/>
    <x v="256"/>
    <s v="Paradox Interactive"/>
    <n v="81"/>
    <n v="8"/>
    <x v="191"/>
    <n v="4"/>
    <n v="18594"/>
    <x v="68"/>
    <x v="68"/>
    <s v="['Grand Strategy', 'Strategy', 'Historical', 'Political Sim', 'Real-Time with Pause', 'Political', 'Sandbox', 'Simulation', 'Singleplayer', 'Addictive', 'Multiplayer', 'RTS', 'Co-op', 'War', 'Alternate History', 'Medieval', 'Logic', '4X', 'Great Soundtrack', 'Moddable']"/>
  </r>
  <r>
    <x v="258"/>
    <n v="38410"/>
    <s v="N"/>
    <m/>
    <x v="14"/>
    <x v="5"/>
    <d v="1998-12-01T00:00:00"/>
    <x v="257"/>
    <s v="Bethesda Softworks"/>
    <n v="86"/>
    <n v="121"/>
    <x v="192"/>
    <n v="74"/>
    <n v="5014"/>
    <x v="69"/>
    <x v="69"/>
    <s v="['RPG', 'Post-apocalyptic', 'Classic', 'Isometric', 'Open World', 'Turn-Based Combat', 'Turn-Based', 'Singleplayer', 'Story Rich', 'Sci-fi', 'Atmospheric', 'CRPG', 'Retro', 'Exploration', 'Dark Humor', 'Great Soundtrack', 'Replay Value', 'Adventure', '2D', 'Sandbox']"/>
  </r>
  <r>
    <x v="259"/>
    <n v="320"/>
    <s v="N"/>
    <m/>
    <x v="14"/>
    <x v="5"/>
    <d v="2004-11-01T00:00:00"/>
    <x v="258"/>
    <s v="Valve"/>
    <n v="107"/>
    <m/>
    <x v="0"/>
    <m/>
    <m/>
    <x v="41"/>
    <x v="41"/>
    <s v="['Action', 'FPS', 'Multiplayer', 'Shooter', 'First-Person', 'Sci-fi', 'Physics', 'Competitive', 'Funny', 'Co-op', 'Old School', 'PvP', 'Arena Shooter', 'Moddable', 'Atmospheric', 'Adventure', 'Great Soundtrack', 'Singleplayer', 'Violent', 'Mod']"/>
  </r>
  <r>
    <x v="260"/>
    <n v="763410"/>
    <s v="N"/>
    <m/>
    <x v="14"/>
    <x v="5"/>
    <d v="2017-12-19T00:00:00"/>
    <x v="259"/>
    <s v="Doborog Games"/>
    <m/>
    <m/>
    <x v="0"/>
    <m/>
    <m/>
    <x v="2"/>
    <x v="2"/>
    <s v="['Free to Play', 'Multiplayer', 'Funny', 'Action', 'Indie', 'Fighting', 'Survival', 'Memes', 'Psychological Horror', 'Swordplay', 'Battle Royale', 'Voxel', 'Pixel Graphics', 'Gore', 'Combat', 'Violent', 'Great Soundtrack', 'Controller', 'Horror', 'Anime']"/>
  </r>
  <r>
    <x v="261"/>
    <n v="235900"/>
    <s v="N"/>
    <m/>
    <x v="14"/>
    <x v="5"/>
    <d v="2005-09-16T00:00:00"/>
    <x v="39"/>
    <s v="Gotcha Gotcha Games"/>
    <n v="183"/>
    <n v="2"/>
    <x v="193"/>
    <m/>
    <m/>
    <x v="70"/>
    <x v="70"/>
    <s v="['Game Development', 'RPG', 'Design &amp; Illustration', 'Software', 'Anime', 'JRPG', 'Education', 'Utilities']"/>
  </r>
  <r>
    <x v="262"/>
    <n v="375200"/>
    <s v="N"/>
    <m/>
    <x v="14"/>
    <x v="5"/>
    <d v="2015-05-29T00:00:00"/>
    <x v="260"/>
    <s v="Winged Cloud"/>
    <n v="185"/>
    <n v="25"/>
    <x v="194"/>
    <n v="21"/>
    <n v="266"/>
    <x v="30"/>
    <x v="30"/>
    <s v="['Nudity', 'Anime', 'Visual Novel', 'Female Protagonist', 'Indie', 'Fantasy', 'Sexual Content', 'Casual', 'Cute', 'Hentai', 'Singleplayer', 'LGBTQ+', 'Romance', 'Story Rich']"/>
  </r>
  <r>
    <x v="263"/>
    <n v="2868840"/>
    <s v="N"/>
    <m/>
    <x v="14"/>
    <x v="5"/>
    <d v="2026-03-05T00:00:00"/>
    <x v="261"/>
    <s v="Mega Crit"/>
    <n v="193"/>
    <n v="52"/>
    <x v="195"/>
    <n v="12"/>
    <n v="6374"/>
    <x v="71"/>
    <x v="71"/>
    <s v="['Roguelike', 'Card Game', 'Deckbuilding', 'Co-op', 'Strategy', 'Roguelike Deckbuilder', 'Political', 'Multiplayer', 'Turn-Based Combat', 'Card Battler', 'Indie', 'Difficult', 'Roguelite', 'Early Access', '2D', 'Singleplayer', 'Replay Value', 'Dungeon Crawler', 'Fantasy', 'Procedural Generation']"/>
  </r>
  <r>
    <x v="264"/>
    <n v="225840"/>
    <s v="N"/>
    <m/>
    <x v="14"/>
    <x v="5"/>
    <d v="1999-01-19T00:00:00"/>
    <x v="262"/>
    <s v="Sven Co-op team"/>
    <m/>
    <m/>
    <x v="0"/>
    <m/>
    <m/>
    <x v="72"/>
    <x v="72"/>
    <s v="['Co-op', 'FPS', 'Online Co-Op', 'Shooter', &quot;1990's&quot;, &quot;Shoot 'Em Up&quot;, 'Retro', 'Team-Based', 'Casual', 'Free to Play', 'PvE', 'First-Person', '3D', 'Third Person', 'Action', 'Dialogue Heavy', 'Puzzle', 'Survival', 'Moddable', 'Multiplayer']"/>
  </r>
  <r>
    <x v="265"/>
    <n v="327140"/>
    <s v="N"/>
    <m/>
    <x v="14"/>
    <x v="5"/>
    <d v="2016-04-05T00:00:00"/>
    <x v="263"/>
    <s v="Google"/>
    <m/>
    <m/>
    <x v="0"/>
    <m/>
    <m/>
    <x v="29"/>
    <x v="29"/>
    <s v="['Design &amp; Illustration', 'VR', 'Free to Play', 'Hand-drawn', 'Casual', 'Singleplayer']"/>
  </r>
  <r>
    <x v="266"/>
    <n v="871720"/>
    <s v="N"/>
    <m/>
    <x v="14"/>
    <x v="5"/>
    <d v="2018-06-27T00:00:00"/>
    <x v="264"/>
    <s v="Scott Cawthon"/>
    <m/>
    <m/>
    <x v="0"/>
    <m/>
    <m/>
    <x v="7"/>
    <x v="7"/>
    <s v="['Free to Play', 'Horror', 'Singleplayer', 'Difficult', 'Survival Horror', 'Robots', 'Strategy', 'First-Person', 'Survival', 'Dark', 'Indie', 'Point &amp; Click', 'Action', 'Psychological Horror', 'Atmospheric', 'Story Rich', 'Memes', 'Funny', 'Simulation', 'Character Customization']"/>
  </r>
  <r>
    <x v="267"/>
    <n v="42960"/>
    <s v="N"/>
    <m/>
    <x v="14"/>
    <x v="5"/>
    <d v="2010-08-30T00:00:00"/>
    <x v="265"/>
    <s v="Paradox Interactive"/>
    <n v="233"/>
    <n v="20"/>
    <x v="196"/>
    <n v="4"/>
    <n v="22611"/>
    <x v="48"/>
    <x v="48"/>
    <s v="['Grand Strategy', 'Strategy', 'Historical', 'Political Sim', 'Politics', 'Economy', 'Simulation', 'Real-Time with Pause', 'Military', 'World War I', 'War', 'Sandbox', 'Singleplayer', 'RTS', 'Management', 'Alternate History', 'Multiplayer', 'Moddable', 'Diplomacy', 'Great Soundtrack']"/>
  </r>
  <r>
    <x v="268"/>
    <n v="2547140"/>
    <s v="Y"/>
    <n v="0"/>
    <x v="37"/>
    <x v="6"/>
    <d v="2024-08-09T00:00:00"/>
    <x v="266"/>
    <s v="Fuzzy"/>
    <m/>
    <m/>
    <x v="0"/>
    <m/>
    <m/>
    <x v="73"/>
    <x v="73"/>
    <s v="[&quot;Shoot 'Em Up&quot;, 'Top-Down Shooter', 'Twin Stick Shooter', 'Bullet Hell', 'Difficult', 'Shooter', 'Arcade', '2D', 'Top-Down', 'Controller', 'Action', 'Pixel Graphics', 'Stylized', 'Score Attack', 'Old School', 'Retro', 'Combat', 'Indie', 'Singleplayer', 'Fast-Pac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44BA2A-9C48-4B26-BE88-52CC1C53C7EB}" name="PivotTable1" cacheId="9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3:B95" firstHeaderRow="1" firstDataRow="1" firstDataCol="1" rowPageCount="1" colPageCount="1"/>
  <pivotFields count="17">
    <pivotField axis="axisPage" compact="0" outline="0" multipleItemSelectionAllowed="1" showAll="0">
      <items count="270">
        <item x="235"/>
        <item h="1" x="192"/>
        <item x="113"/>
        <item x="12"/>
        <item x="112"/>
        <item x="88"/>
        <item x="54"/>
        <item x="163"/>
        <item x="21"/>
        <item x="171"/>
        <item x="4"/>
        <item x="129"/>
        <item x="139"/>
        <item x="9"/>
        <item x="131"/>
        <item x="195"/>
        <item x="216"/>
        <item x="199"/>
        <item x="55"/>
        <item x="153"/>
        <item x="205"/>
        <item x="210"/>
        <item x="124"/>
        <item x="154"/>
        <item x="3"/>
        <item x="46"/>
        <item x="158"/>
        <item x="254"/>
        <item x="151"/>
        <item x="30"/>
        <item x="145"/>
        <item x="152"/>
        <item x="56"/>
        <item x="64"/>
        <item x="255"/>
        <item x="146"/>
        <item x="170"/>
        <item x="239"/>
        <item x="256"/>
        <item x="95"/>
        <item x="125"/>
        <item x="166"/>
        <item x="90"/>
        <item x="134"/>
        <item x="133"/>
        <item x="75"/>
        <item x="91"/>
        <item x="86"/>
        <item x="92"/>
        <item x="182"/>
        <item x="184"/>
        <item x="174"/>
        <item x="183"/>
        <item x="136"/>
        <item x="175"/>
        <item x="32"/>
        <item x="176"/>
        <item x="234"/>
        <item x="1"/>
        <item x="147"/>
        <item x="213"/>
        <item x="177"/>
        <item x="72"/>
        <item x="41"/>
        <item x="114"/>
        <item x="155"/>
        <item x="15"/>
        <item x="24"/>
        <item x="20"/>
        <item x="178"/>
        <item x="76"/>
        <item x="140"/>
        <item x="227"/>
        <item x="67"/>
        <item x="161"/>
        <item x="115"/>
        <item x="116"/>
        <item x="117"/>
        <item x="78"/>
        <item x="249"/>
        <item x="156"/>
        <item x="57"/>
        <item x="201"/>
        <item x="45"/>
        <item x="103"/>
        <item x="179"/>
        <item x="185"/>
        <item x="79"/>
        <item x="49"/>
        <item x="257"/>
        <item h="1" x="126"/>
        <item x="106"/>
        <item x="48"/>
        <item x="118"/>
        <item x="258"/>
        <item x="69"/>
        <item x="58"/>
        <item x="253"/>
        <item x="240"/>
        <item x="40"/>
        <item x="189"/>
        <item x="38"/>
        <item x="228"/>
        <item x="250"/>
        <item x="81"/>
        <item x="196"/>
        <item x="236"/>
        <item x="98"/>
        <item x="241"/>
        <item x="221"/>
        <item x="6"/>
        <item x="104"/>
        <item x="26"/>
        <item x="244"/>
        <item x="84"/>
        <item x="73"/>
        <item x="259"/>
        <item x="59"/>
        <item x="141"/>
        <item h="1" x="128"/>
        <item x="148"/>
        <item x="229"/>
        <item x="109"/>
        <item x="135"/>
        <item x="172"/>
        <item x="74"/>
        <item x="94"/>
        <item x="206"/>
        <item x="142"/>
        <item x="39"/>
        <item x="149"/>
        <item x="217"/>
        <item x="202"/>
        <item x="99"/>
        <item x="127"/>
        <item x="2"/>
        <item x="70"/>
        <item x="66"/>
        <item x="119"/>
        <item x="218"/>
        <item x="219"/>
        <item x="260"/>
        <item x="245"/>
        <item x="242"/>
        <item x="143"/>
        <item x="190"/>
        <item x="222"/>
        <item x="16"/>
        <item x="162"/>
        <item x="214"/>
        <item x="31"/>
        <item x="233"/>
        <item x="180"/>
        <item x="164"/>
        <item x="165"/>
        <item x="71"/>
        <item x="251"/>
        <item x="80"/>
        <item x="85"/>
        <item x="197"/>
        <item x="237"/>
        <item h="1" x="0"/>
        <item x="96"/>
        <item x="169"/>
        <item x="7"/>
        <item x="230"/>
        <item x="37"/>
        <item x="243"/>
        <item x="208"/>
        <item x="186"/>
        <item x="110"/>
        <item x="82"/>
        <item x="47"/>
        <item x="157"/>
        <item x="123"/>
        <item x="209"/>
        <item x="108"/>
        <item x="200"/>
        <item x="220"/>
        <item x="107"/>
        <item x="83"/>
        <item x="93"/>
        <item x="160"/>
        <item x="44"/>
        <item x="246"/>
        <item x="181"/>
        <item x="223"/>
        <item x="173"/>
        <item x="34"/>
        <item x="33"/>
        <item x="35"/>
        <item x="138"/>
        <item x="43"/>
        <item x="122"/>
        <item x="63"/>
        <item x="52"/>
        <item x="261"/>
        <item x="60"/>
        <item x="262"/>
        <item x="42"/>
        <item x="36"/>
        <item x="193"/>
        <item x="17"/>
        <item x="224"/>
        <item x="18"/>
        <item x="89"/>
        <item x="263"/>
        <item x="27"/>
        <item x="100"/>
        <item x="28"/>
        <item x="203"/>
        <item x="50"/>
        <item x="130"/>
        <item x="207"/>
        <item x="97"/>
        <item x="187"/>
        <item x="10"/>
        <item x="204"/>
        <item x="111"/>
        <item x="198"/>
        <item x="211"/>
        <item x="238"/>
        <item x="264"/>
        <item x="65"/>
        <item x="22"/>
        <item x="29"/>
        <item x="87"/>
        <item x="159"/>
        <item x="188"/>
        <item x="231"/>
        <item x="101"/>
        <item x="167"/>
        <item x="225"/>
        <item x="61"/>
        <item x="14"/>
        <item x="11"/>
        <item x="68"/>
        <item x="252"/>
        <item x="5"/>
        <item x="8"/>
        <item x="51"/>
        <item x="13"/>
        <item x="265"/>
        <item x="120"/>
        <item x="168"/>
        <item x="137"/>
        <item x="232"/>
        <item x="150"/>
        <item x="266"/>
        <item x="53"/>
        <item x="268"/>
        <item x="121"/>
        <item x="19"/>
        <item x="267"/>
        <item x="215"/>
        <item x="62"/>
        <item x="102"/>
        <item x="105"/>
        <item x="23"/>
        <item x="132"/>
        <item x="212"/>
        <item x="191"/>
        <item x="226"/>
        <item x="25"/>
        <item x="247"/>
        <item x="194"/>
        <item x="144"/>
        <item x="77"/>
        <item x="248"/>
        <item t="default"/>
      </items>
    </pivotField>
    <pivotField compact="0" outline="0" showAll="0"/>
    <pivotField compact="0" outline="0" showAll="0"/>
    <pivotField compact="0" outline="0" showAll="0"/>
    <pivotField axis="axisRow" compact="0" outline="0" showAll="0">
      <items count="95">
        <item x="93"/>
        <item x="92"/>
        <item x="38"/>
        <item x="60"/>
        <item x="59"/>
        <item x="37"/>
        <item x="36"/>
        <item x="13"/>
        <item x="12"/>
        <item x="11"/>
        <item x="58"/>
        <item x="10"/>
        <item x="57"/>
        <item x="9"/>
        <item x="35"/>
        <item x="56"/>
        <item x="55"/>
        <item x="34"/>
        <item x="33"/>
        <item x="91"/>
        <item x="90"/>
        <item x="8"/>
        <item x="89"/>
        <item x="7"/>
        <item x="15"/>
        <item x="32"/>
        <item x="31"/>
        <item x="30"/>
        <item x="54"/>
        <item x="88"/>
        <item x="87"/>
        <item x="6"/>
        <item x="29"/>
        <item x="5"/>
        <item x="28"/>
        <item x="27"/>
        <item x="86"/>
        <item x="53"/>
        <item x="26"/>
        <item x="85"/>
        <item x="52"/>
        <item x="51"/>
        <item x="25"/>
        <item x="84"/>
        <item x="4"/>
        <item x="24"/>
        <item x="3"/>
        <item x="23"/>
        <item x="22"/>
        <item x="50"/>
        <item x="49"/>
        <item x="83"/>
        <item x="21"/>
        <item x="82"/>
        <item x="48"/>
        <item x="47"/>
        <item x="81"/>
        <item x="80"/>
        <item x="46"/>
        <item x="79"/>
        <item x="78"/>
        <item x="45"/>
        <item x="44"/>
        <item x="20"/>
        <item x="43"/>
        <item x="19"/>
        <item x="18"/>
        <item x="17"/>
        <item x="77"/>
        <item x="76"/>
        <item x="16"/>
        <item x="75"/>
        <item x="74"/>
        <item x="2"/>
        <item x="42"/>
        <item x="1"/>
        <item x="73"/>
        <item x="72"/>
        <item x="41"/>
        <item x="71"/>
        <item x="40"/>
        <item x="70"/>
        <item x="39"/>
        <item x="69"/>
        <item x="68"/>
        <item x="67"/>
        <item x="66"/>
        <item x="65"/>
        <item x="64"/>
        <item x="63"/>
        <item x="62"/>
        <item x="61"/>
        <item x="0"/>
        <item x="1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numFmtId="14" outline="0" showAll="0"/>
    <pivotField compact="0" outline="0" showAll="0"/>
  </pivotFields>
  <rowFields count="1">
    <field x="4"/>
  </rowFields>
  <rowItems count="9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9"/>
    </i>
    <i>
      <x v="91"/>
    </i>
    <i>
      <x v="93"/>
    </i>
    <i t="grand">
      <x/>
    </i>
  </rowItems>
  <colItems count="1">
    <i/>
  </colItems>
  <pageFields count="1">
    <pageField fld="0" hier="-1"/>
  </pageFields>
  <dataFields count="1">
    <dataField name="Average of time_complete" fld="13" subtotal="average" baseField="0" baseItem="0"/>
  </dataFields>
  <chartFormats count="4">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051E29-56F7-43DB-A4F8-CC2AF89AB439}" name="PivotTable2" cacheId="9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23:C98" firstHeaderRow="0" firstDataRow="1" firstDataCol="1"/>
  <pivotFields count="17">
    <pivotField compact="0" outline="0" showAll="0"/>
    <pivotField compact="0" outline="0" showAll="0"/>
    <pivotField compact="0" outline="0" showAll="0"/>
    <pivotField compact="0" outline="0" showAll="0"/>
    <pivotField compact="0" outline="0" showAll="0"/>
    <pivotField compact="0" outline="0" showAll="0">
      <items count="9">
        <item m="1" x="7"/>
        <item x="0"/>
        <item x="1"/>
        <item x="2"/>
        <item x="3"/>
        <item x="4"/>
        <item x="5"/>
        <item x="6"/>
        <item t="default"/>
      </items>
    </pivotField>
    <pivotField compact="0" outline="0" showAll="0"/>
    <pivotField dataField="1" compact="0" outline="0" showAll="0">
      <items count="268">
        <item x="266"/>
        <item x="123"/>
        <item x="2"/>
        <item x="20"/>
        <item x="122"/>
        <item x="0"/>
        <item x="121"/>
        <item x="7"/>
        <item x="3"/>
        <item x="27"/>
        <item x="18"/>
        <item x="48"/>
        <item x="8"/>
        <item x="49"/>
        <item x="11"/>
        <item x="52"/>
        <item x="190"/>
        <item x="44"/>
        <item x="222"/>
        <item x="59"/>
        <item x="15"/>
        <item x="25"/>
        <item x="221"/>
        <item x="16"/>
        <item x="220"/>
        <item x="242"/>
        <item x="207"/>
        <item x="255"/>
        <item x="223"/>
        <item x="212"/>
        <item x="43"/>
        <item x="185"/>
        <item x="252"/>
        <item x="10"/>
        <item x="250"/>
        <item x="231"/>
        <item x="158"/>
        <item x="244"/>
        <item x="46"/>
        <item x="37"/>
        <item x="234"/>
        <item x="36"/>
        <item x="111"/>
        <item x="197"/>
        <item x="28"/>
        <item x="260"/>
        <item x="53"/>
        <item x="236"/>
        <item x="245"/>
        <item x="96"/>
        <item x="40"/>
        <item x="128"/>
        <item x="39"/>
        <item x="263"/>
        <item x="86"/>
        <item x="228"/>
        <item x="204"/>
        <item x="60"/>
        <item x="105"/>
        <item x="256"/>
        <item x="100"/>
        <item x="180"/>
        <item x="189"/>
        <item x="51"/>
        <item x="200"/>
        <item x="229"/>
        <item x="21"/>
        <item x="186"/>
        <item x="41"/>
        <item x="203"/>
        <item x="14"/>
        <item x="6"/>
        <item x="9"/>
        <item x="227"/>
        <item x="57"/>
        <item x="230"/>
        <item x="17"/>
        <item x="35"/>
        <item x="99"/>
        <item x="218"/>
        <item x="247"/>
        <item x="249"/>
        <item x="259"/>
        <item x="171"/>
        <item x="42"/>
        <item x="38"/>
        <item x="4"/>
        <item x="209"/>
        <item x="215"/>
        <item x="19"/>
        <item x="213"/>
        <item x="226"/>
        <item x="214"/>
        <item x="30"/>
        <item x="161"/>
        <item x="176"/>
        <item x="240"/>
        <item x="58"/>
        <item x="196"/>
        <item x="169"/>
        <item x="54"/>
        <item x="1"/>
        <item x="246"/>
        <item x="84"/>
        <item x="216"/>
        <item x="140"/>
        <item x="13"/>
        <item x="12"/>
        <item x="89"/>
        <item x="193"/>
        <item x="109"/>
        <item x="47"/>
        <item x="101"/>
        <item x="147"/>
        <item x="112"/>
        <item x="149"/>
        <item x="201"/>
        <item x="159"/>
        <item x="137"/>
        <item x="174"/>
        <item x="146"/>
        <item x="50"/>
        <item x="237"/>
        <item x="208"/>
        <item x="107"/>
        <item x="248"/>
        <item x="258"/>
        <item x="235"/>
        <item x="166"/>
        <item x="56"/>
        <item x="195"/>
        <item x="150"/>
        <item x="32"/>
        <item x="239"/>
        <item x="92"/>
        <item x="79"/>
        <item x="224"/>
        <item x="70"/>
        <item x="232"/>
        <item x="113"/>
        <item x="175"/>
        <item x="257"/>
        <item x="33"/>
        <item x="170"/>
        <item x="187"/>
        <item x="31"/>
        <item x="265"/>
        <item x="177"/>
        <item x="117"/>
        <item x="243"/>
        <item x="219"/>
        <item x="251"/>
        <item x="241"/>
        <item x="225"/>
        <item x="5"/>
        <item x="110"/>
        <item x="139"/>
        <item x="148"/>
        <item x="142"/>
        <item x="26"/>
        <item x="181"/>
        <item x="233"/>
        <item x="74"/>
        <item x="130"/>
        <item x="29"/>
        <item x="95"/>
        <item x="253"/>
        <item x="34"/>
        <item x="154"/>
        <item x="102"/>
        <item x="172"/>
        <item x="210"/>
        <item x="191"/>
        <item x="85"/>
        <item x="188"/>
        <item x="23"/>
        <item x="262"/>
        <item x="238"/>
        <item x="254"/>
        <item x="24"/>
        <item x="91"/>
        <item x="155"/>
        <item x="136"/>
        <item x="143"/>
        <item x="160"/>
        <item x="87"/>
        <item x="153"/>
        <item x="162"/>
        <item x="157"/>
        <item x="151"/>
        <item x="217"/>
        <item x="69"/>
        <item x="199"/>
        <item x="80"/>
        <item x="264"/>
        <item x="55"/>
        <item x="98"/>
        <item x="66"/>
        <item x="205"/>
        <item x="124"/>
        <item x="164"/>
        <item x="165"/>
        <item x="152"/>
        <item x="179"/>
        <item x="133"/>
        <item x="134"/>
        <item x="76"/>
        <item x="78"/>
        <item x="183"/>
        <item x="103"/>
        <item x="126"/>
        <item x="211"/>
        <item x="141"/>
        <item x="163"/>
        <item x="132"/>
        <item x="125"/>
        <item x="115"/>
        <item x="182"/>
        <item x="206"/>
        <item x="93"/>
        <item x="144"/>
        <item x="202"/>
        <item x="168"/>
        <item x="75"/>
        <item x="184"/>
        <item x="108"/>
        <item x="94"/>
        <item x="81"/>
        <item x="138"/>
        <item x="129"/>
        <item x="135"/>
        <item x="77"/>
        <item x="106"/>
        <item x="261"/>
        <item x="88"/>
        <item x="90"/>
        <item x="72"/>
        <item x="68"/>
        <item x="145"/>
        <item x="114"/>
        <item x="45"/>
        <item x="62"/>
        <item x="192"/>
        <item x="61"/>
        <item x="127"/>
        <item x="173"/>
        <item x="83"/>
        <item x="120"/>
        <item x="71"/>
        <item x="156"/>
        <item x="63"/>
        <item x="116"/>
        <item x="119"/>
        <item x="82"/>
        <item x="118"/>
        <item x="73"/>
        <item x="198"/>
        <item x="194"/>
        <item x="131"/>
        <item x="22"/>
        <item x="65"/>
        <item x="67"/>
        <item x="178"/>
        <item x="104"/>
        <item x="97"/>
        <item x="64"/>
        <item x="16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75">
        <item x="57"/>
        <item x="72"/>
        <item x="31"/>
        <item x="11"/>
        <item x="68"/>
        <item x="13"/>
        <item x="59"/>
        <item x="47"/>
        <item x="56"/>
        <item x="6"/>
        <item x="4"/>
        <item x="24"/>
        <item x="23"/>
        <item x="1"/>
        <item x="0"/>
        <item x="33"/>
        <item x="10"/>
        <item x="61"/>
        <item x="26"/>
        <item x="71"/>
        <item x="50"/>
        <item x="44"/>
        <item x="32"/>
        <item x="35"/>
        <item x="22"/>
        <item x="20"/>
        <item x="30"/>
        <item x="29"/>
        <item x="25"/>
        <item x="7"/>
        <item x="28"/>
        <item x="40"/>
        <item x="58"/>
        <item x="53"/>
        <item x="62"/>
        <item x="45"/>
        <item x="15"/>
        <item x="51"/>
        <item x="70"/>
        <item x="65"/>
        <item x="48"/>
        <item x="12"/>
        <item x="42"/>
        <item x="17"/>
        <item x="5"/>
        <item x="8"/>
        <item x="18"/>
        <item x="3"/>
        <item x="9"/>
        <item x="16"/>
        <item x="34"/>
        <item x="73"/>
        <item x="19"/>
        <item x="69"/>
        <item x="67"/>
        <item x="41"/>
        <item x="46"/>
        <item x="49"/>
        <item x="39"/>
        <item x="36"/>
        <item x="38"/>
        <item x="37"/>
        <item x="60"/>
        <item x="64"/>
        <item x="21"/>
        <item x="54"/>
        <item x="2"/>
        <item x="27"/>
        <item x="55"/>
        <item x="43"/>
        <item x="66"/>
        <item x="52"/>
        <item x="14"/>
        <item x="63"/>
        <item t="default"/>
      </items>
    </pivotField>
    <pivotField axis="axisRow" compact="0" numFmtId="14" outline="0" showAll="0">
      <items count="75">
        <item x="57"/>
        <item x="15"/>
        <item x="51"/>
        <item x="69"/>
        <item x="72"/>
        <item x="50"/>
        <item x="31"/>
        <item x="67"/>
        <item x="11"/>
        <item x="41"/>
        <item x="44"/>
        <item x="70"/>
        <item x="32"/>
        <item x="46"/>
        <item x="68"/>
        <item x="65"/>
        <item x="49"/>
        <item x="39"/>
        <item x="13"/>
        <item x="36"/>
        <item x="59"/>
        <item x="48"/>
        <item x="38"/>
        <item x="47"/>
        <item x="35"/>
        <item x="12"/>
        <item x="56"/>
        <item x="42"/>
        <item x="37"/>
        <item x="6"/>
        <item x="22"/>
        <item x="17"/>
        <item x="60"/>
        <item x="4"/>
        <item x="20"/>
        <item x="5"/>
        <item x="64"/>
        <item x="24"/>
        <item x="30"/>
        <item x="8"/>
        <item x="21"/>
        <item x="23"/>
        <item x="29"/>
        <item x="18"/>
        <item x="54"/>
        <item x="1"/>
        <item x="25"/>
        <item x="3"/>
        <item x="2"/>
        <item x="0"/>
        <item x="7"/>
        <item x="9"/>
        <item x="27"/>
        <item x="33"/>
        <item x="28"/>
        <item x="16"/>
        <item x="55"/>
        <item x="10"/>
        <item x="40"/>
        <item x="34"/>
        <item x="43"/>
        <item x="66"/>
        <item x="61"/>
        <item x="26"/>
        <item x="58"/>
        <item x="52"/>
        <item x="53"/>
        <item x="73"/>
        <item x="14"/>
        <item x="62"/>
        <item x="19"/>
        <item x="63"/>
        <item x="71"/>
        <item x="45"/>
        <item t="default"/>
      </items>
    </pivotField>
    <pivotField compact="0" outline="0" showAll="0"/>
  </pivotFields>
  <rowFields count="1">
    <field x="15"/>
  </rowFields>
  <rowItems count="7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t="grand">
      <x/>
    </i>
  </rowItems>
  <colFields count="1">
    <field x="-2"/>
  </colFields>
  <colItems count="2">
    <i>
      <x/>
    </i>
    <i i="1">
      <x v="1"/>
    </i>
  </colItems>
  <dataFields count="2">
    <dataField name="Average of Total_number_of_reviews" fld="7" subtotal="average" baseField="0" baseItem="0"/>
    <dataField name="Sum of Total_number_of_reviews" fld="7" baseField="0" baseItem="0"/>
  </dataFields>
  <formats count="2">
    <format dxfId="12">
      <pivotArea dataOnly="0" labelOnly="1" outline="0" fieldPosition="0">
        <references count="1">
          <reference field="4294967294" count="1">
            <x v="1"/>
          </reference>
        </references>
      </pivotArea>
    </format>
    <format dxfId="13">
      <pivotArea dataOnly="0" labelOnly="1" outline="0" fieldPosition="0">
        <references count="1">
          <reference field="4294967294" count="1">
            <x v="0"/>
          </reference>
        </references>
      </pivotArea>
    </format>
  </formats>
  <chartFormats count="8">
    <chartFormat chart="1" format="271" series="1">
      <pivotArea type="data" outline="0" fieldPosition="0">
        <references count="1">
          <reference field="4294967294" count="1" selected="0">
            <x v="0"/>
          </reference>
        </references>
      </pivotArea>
    </chartFormat>
    <chartFormat chart="1" format="272" series="1">
      <pivotArea type="data" outline="0" fieldPosition="0">
        <references count="1">
          <reference field="4294967294" count="1" selected="0">
            <x v="1"/>
          </reference>
        </references>
      </pivotArea>
    </chartFormat>
    <chartFormat chart="2" format="273" series="1">
      <pivotArea type="data" outline="0" fieldPosition="0">
        <references count="1">
          <reference field="4294967294" count="1" selected="0">
            <x v="0"/>
          </reference>
        </references>
      </pivotArea>
    </chartFormat>
    <chartFormat chart="2" format="274"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9DB19F-06BA-4DF9-99B0-5E503BB4D000}" name="PivotTable1" cacheId="9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3:B11" firstHeaderRow="1" firstDataRow="1" firstDataCol="1"/>
  <pivotFields count="17">
    <pivotField compact="0" outline="0" showAll="0"/>
    <pivotField compact="0" outline="0" showAll="0"/>
    <pivotField compact="0" outline="0" showAll="0"/>
    <pivotField compact="0" outline="0" showAll="0"/>
    <pivotField compact="0" outline="0" showAll="0"/>
    <pivotField axis="axisRow" compact="0" outline="0" showAll="0">
      <items count="9">
        <item m="1" x="7"/>
        <item x="1"/>
        <item x="0"/>
        <item x="4"/>
        <item x="2"/>
        <item x="5"/>
        <item x="3"/>
        <item x="6"/>
        <item t="default"/>
      </items>
    </pivotField>
    <pivotField compact="0" outline="0" showAll="0"/>
    <pivotField compact="0" outline="0" showAll="0"/>
    <pivotField compact="0" outline="0" showAll="0"/>
    <pivotField compact="0" outline="0" showAll="0"/>
    <pivotField compact="0" outline="0" showAll="0"/>
    <pivotField dataField="1" compact="0" outline="0" showAll="0">
      <items count="198">
        <item x="2"/>
        <item x="189"/>
        <item x="16"/>
        <item x="186"/>
        <item x="38"/>
        <item x="60"/>
        <item x="65"/>
        <item x="70"/>
        <item x="88"/>
        <item x="176"/>
        <item x="165"/>
        <item x="174"/>
        <item x="177"/>
        <item x="87"/>
        <item x="41"/>
        <item x="35"/>
        <item x="185"/>
        <item x="32"/>
        <item x="159"/>
        <item x="130"/>
        <item x="173"/>
        <item x="170"/>
        <item x="19"/>
        <item x="9"/>
        <item x="180"/>
        <item x="84"/>
        <item x="42"/>
        <item x="194"/>
        <item x="156"/>
        <item x="13"/>
        <item x="155"/>
        <item x="11"/>
        <item x="82"/>
        <item x="30"/>
        <item x="128"/>
        <item x="183"/>
        <item x="167"/>
        <item x="81"/>
        <item x="144"/>
        <item x="178"/>
        <item x="76"/>
        <item x="145"/>
        <item x="17"/>
        <item x="149"/>
        <item x="153"/>
        <item x="150"/>
        <item x="166"/>
        <item x="27"/>
        <item x="79"/>
        <item x="123"/>
        <item x="172"/>
        <item x="120"/>
        <item x="182"/>
        <item x="142"/>
        <item x="74"/>
        <item x="148"/>
        <item x="181"/>
        <item x="37"/>
        <item x="86"/>
        <item x="51"/>
        <item x="119"/>
        <item x="112"/>
        <item x="157"/>
        <item x="34"/>
        <item x="110"/>
        <item x="5"/>
        <item x="102"/>
        <item x="154"/>
        <item x="50"/>
        <item x="7"/>
        <item x="92"/>
        <item x="171"/>
        <item x="184"/>
        <item x="179"/>
        <item x="163"/>
        <item x="20"/>
        <item x="24"/>
        <item x="75"/>
        <item x="162"/>
        <item x="63"/>
        <item x="12"/>
        <item x="125"/>
        <item x="193"/>
        <item x="168"/>
        <item x="15"/>
        <item x="68"/>
        <item x="126"/>
        <item x="1"/>
        <item x="77"/>
        <item x="8"/>
        <item x="91"/>
        <item x="100"/>
        <item x="25"/>
        <item x="46"/>
        <item x="33"/>
        <item x="22"/>
        <item x="106"/>
        <item x="71"/>
        <item x="164"/>
        <item x="18"/>
        <item x="134"/>
        <item x="195"/>
        <item x="56"/>
        <item x="121"/>
        <item x="4"/>
        <item x="43"/>
        <item x="160"/>
        <item x="187"/>
        <item x="108"/>
        <item x="58"/>
        <item x="73"/>
        <item x="127"/>
        <item x="114"/>
        <item x="47"/>
        <item x="124"/>
        <item x="116"/>
        <item x="61"/>
        <item x="122"/>
        <item x="53"/>
        <item x="69"/>
        <item x="105"/>
        <item x="169"/>
        <item x="55"/>
        <item x="133"/>
        <item x="111"/>
        <item x="85"/>
        <item x="93"/>
        <item x="90"/>
        <item x="3"/>
        <item x="6"/>
        <item x="188"/>
        <item x="132"/>
        <item x="161"/>
        <item x="95"/>
        <item x="28"/>
        <item x="143"/>
        <item x="175"/>
        <item x="147"/>
        <item x="23"/>
        <item x="36"/>
        <item x="31"/>
        <item x="10"/>
        <item x="97"/>
        <item x="26"/>
        <item x="104"/>
        <item x="103"/>
        <item x="117"/>
        <item x="115"/>
        <item x="59"/>
        <item x="64"/>
        <item x="72"/>
        <item x="83"/>
        <item x="196"/>
        <item x="40"/>
        <item x="107"/>
        <item x="49"/>
        <item x="152"/>
        <item x="54"/>
        <item x="89"/>
        <item x="139"/>
        <item x="67"/>
        <item x="141"/>
        <item x="101"/>
        <item x="109"/>
        <item x="146"/>
        <item x="192"/>
        <item x="137"/>
        <item x="131"/>
        <item x="57"/>
        <item x="129"/>
        <item x="14"/>
        <item x="118"/>
        <item x="66"/>
        <item x="98"/>
        <item x="140"/>
        <item x="29"/>
        <item x="44"/>
        <item x="138"/>
        <item x="113"/>
        <item x="80"/>
        <item x="21"/>
        <item x="136"/>
        <item x="52"/>
        <item x="48"/>
        <item x="190"/>
        <item x="45"/>
        <item x="96"/>
        <item x="135"/>
        <item x="78"/>
        <item x="99"/>
        <item x="151"/>
        <item x="191"/>
        <item x="39"/>
        <item x="158"/>
        <item x="94"/>
        <item x="62"/>
        <item x="0"/>
        <item t="default"/>
      </items>
    </pivotField>
    <pivotField compact="0" outline="0" showAll="0"/>
    <pivotField compact="0" outline="0" showAll="0"/>
    <pivotField compact="0" outline="0" showAll="0"/>
    <pivotField compact="0" numFmtId="14" outline="0" showAll="0"/>
    <pivotField compact="0" outline="0" showAll="0"/>
  </pivotFields>
  <rowFields count="1">
    <field x="5"/>
  </rowFields>
  <rowItems count="8">
    <i>
      <x v="1"/>
    </i>
    <i>
      <x v="2"/>
    </i>
    <i>
      <x v="3"/>
    </i>
    <i>
      <x v="4"/>
    </i>
    <i>
      <x v="5"/>
    </i>
    <i>
      <x v="6"/>
    </i>
    <i>
      <x v="7"/>
    </i>
    <i t="grand">
      <x/>
    </i>
  </rowItems>
  <colItems count="1">
    <i/>
  </colItems>
  <dataFields count="1">
    <dataField name="Average of time_main" fld="11" subtotal="average" baseField="0" baseItem="0"/>
  </dataFields>
  <formats count="1">
    <format dxfId="11">
      <pivotArea dataOnly="0" labelOnly="1" outline="0" axis="axisValues" fieldPosition="0"/>
    </format>
  </formats>
  <chartFormats count="14">
    <chartFormat chart="0" format="211" series="1">
      <pivotArea type="data" outline="0" fieldPosition="0">
        <references count="2">
          <reference field="4294967294" count="1" selected="0">
            <x v="0"/>
          </reference>
          <reference field="5" count="1" selected="0">
            <x v="1"/>
          </reference>
        </references>
      </pivotArea>
    </chartFormat>
    <chartFormat chart="0" format="212" series="1">
      <pivotArea type="data" outline="0" fieldPosition="0">
        <references count="2">
          <reference field="4294967294" count="1" selected="0">
            <x v="0"/>
          </reference>
          <reference field="5" count="1" selected="0">
            <x v="2"/>
          </reference>
        </references>
      </pivotArea>
    </chartFormat>
    <chartFormat chart="0" format="213" series="1">
      <pivotArea type="data" outline="0" fieldPosition="0">
        <references count="2">
          <reference field="4294967294" count="1" selected="0">
            <x v="0"/>
          </reference>
          <reference field="5" count="1" selected="0">
            <x v="3"/>
          </reference>
        </references>
      </pivotArea>
    </chartFormat>
    <chartFormat chart="0" format="214" series="1">
      <pivotArea type="data" outline="0" fieldPosition="0">
        <references count="2">
          <reference field="4294967294" count="1" selected="0">
            <x v="0"/>
          </reference>
          <reference field="5" count="1" selected="0">
            <x v="5"/>
          </reference>
        </references>
      </pivotArea>
    </chartFormat>
    <chartFormat chart="0" format="215" series="1">
      <pivotArea type="data" outline="0" fieldPosition="0">
        <references count="2">
          <reference field="4294967294" count="1" selected="0">
            <x v="0"/>
          </reference>
          <reference field="5" count="1" selected="0">
            <x v="4"/>
          </reference>
        </references>
      </pivotArea>
    </chartFormat>
    <chartFormat chart="0" format="216" series="1">
      <pivotArea type="data" outline="0" fieldPosition="0">
        <references count="2">
          <reference field="4294967294" count="1" selected="0">
            <x v="0"/>
          </reference>
          <reference field="5" count="1" selected="0">
            <x v="6"/>
          </reference>
        </references>
      </pivotArea>
    </chartFormat>
    <chartFormat chart="0" format="217" series="1">
      <pivotArea type="data" outline="0" fieldPosition="0">
        <references count="2">
          <reference field="4294967294" count="1" selected="0">
            <x v="0"/>
          </reference>
          <reference field="5" count="1" selected="0">
            <x v="7"/>
          </reference>
        </references>
      </pivotArea>
    </chartFormat>
    <chartFormat chart="0" format="218"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19" series="1">
      <pivotArea type="data" outline="0" fieldPosition="0">
        <references count="1">
          <reference field="4294967294" count="1" selected="0">
            <x v="0"/>
          </reference>
        </references>
      </pivotArea>
    </chartFormat>
    <chartFormat chart="5" format="220" series="1">
      <pivotArea type="data" outline="0" fieldPosition="0">
        <references count="1">
          <reference field="4294967294" count="1" selected="0">
            <x v="0"/>
          </reference>
        </references>
      </pivotArea>
    </chartFormat>
    <chartFormat chart="6" format="221" series="1">
      <pivotArea type="data" outline="0" fieldPosition="0">
        <references count="1">
          <reference field="4294967294" count="1" selected="0">
            <x v="0"/>
          </reference>
        </references>
      </pivotArea>
    </chartFormat>
    <chartFormat chart="7" format="22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B86CAB-A89A-4A4C-BFEA-1D99DE5764E6}" name="Table1" displayName="Table1" ref="A1:Q270" totalsRowShown="0">
  <autoFilter ref="A1:Q270" xr:uid="{75B86CAB-A89A-4A4C-BFEA-1D99DE5764E6}"/>
  <sortState xmlns:xlrd2="http://schemas.microsoft.com/office/spreadsheetml/2017/richdata2" ref="A2:Q270">
    <sortCondition ref="F1:F270"/>
  </sortState>
  <tableColumns count="17">
    <tableColumn id="1" xr3:uid="{3E2B6F69-F1C6-4DC6-916B-9591CBCE0878}" name="Title"/>
    <tableColumn id="2" xr3:uid="{0A116004-0174-4058-B165-65C590422278}" name="Steam_id"/>
    <tableColumn id="3" xr3:uid="{45FBD016-FD5A-4599-BF02-EDFCCAE92AC9}" name="has_achievements"/>
    <tableColumn id="4" xr3:uid="{A2DB4D9F-66E0-47BD-8E6E-033F5A796296}" name="completed_achievements"/>
    <tableColumn id="5" xr3:uid="{770D0A80-442D-4A6E-94C6-040EF28F5103}" name="total_achievements"/>
    <tableColumn id="6" xr3:uid="{69FC9577-E6A9-4CC9-BDCE-C5C492426835}" name="English_rating"/>
    <tableColumn id="7" xr3:uid="{6453BBB4-85FF-460D-9C7F-EA582DD069B2}" name="Date_published" dataDxfId="10"/>
    <tableColumn id="8" xr3:uid="{70A61AC7-394C-42F8-88A4-227E93641077}" name="Total_number_of_reviews"/>
    <tableColumn id="9" xr3:uid="{A858A0F3-39CF-4C78-9534-4EFA51F1A18F}" name="Publisher"/>
    <tableColumn id="10" xr3:uid="{6CC3591B-6DE4-4FD7-BE5C-BB9CD26E4AEA}" name="keys"/>
    <tableColumn id="11" xr3:uid="{ABCE07E1-D3EB-4288-A6C7-C3AFD7E48816}" name="count_main"/>
    <tableColumn id="12" xr3:uid="{3DEC605F-C9C6-4551-8203-CF90643747AC}" name="time_main"/>
    <tableColumn id="13" xr3:uid="{D5D2315A-4C91-4464-8A1E-DF89D88F603D}" name="count_complete"/>
    <tableColumn id="14" xr3:uid="{2F1D87D3-0405-4EAB-9986-5F6B4FA82AB8}" name="time_complete"/>
    <tableColumn id="16" xr3:uid="{7FB3D2D0-43FA-4B9C-B3CA-CDFEBA3C4076}" name="Corregated_dates" dataDxfId="9">
      <calculatedColumnFormula>"Q"&amp;ROUNDUP(MONTH(G2)/3,0)&amp;" "&amp;YEAR(G2)</calculatedColumnFormula>
    </tableColumn>
    <tableColumn id="17" xr3:uid="{663DAE07-0AA6-48F7-947F-3CEC207119CC}" name="Stand_in_date" dataDxfId="8">
      <calculatedColumnFormula>DATE(YEAR(G2),3*ROUNDUP(MONTH(G2)/3,0)-2,1)</calculatedColumnFormula>
    </tableColumn>
    <tableColumn id="15" xr3:uid="{EC7EAD80-68BA-43DF-93AB-33488DA4CEB9}" name="Genr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360311A-5268-4271-8ABB-9B7764A349F3}" name="Table3" displayName="Table3" ref="D3:E93" totalsRowShown="0" headerRowDxfId="7" headerRowBorderDxfId="6">
  <autoFilter ref="D3:E93" xr:uid="{2360311A-5268-4271-8ABB-9B7764A349F3}"/>
  <tableColumns count="2">
    <tableColumn id="1" xr3:uid="{E42EFDE8-DF97-46AD-8DED-30B268979CC0}" name="total_achievements"/>
    <tableColumn id="2" xr3:uid="{692E04BD-37D9-4CC7-A08D-F6171E1C114E}" name="Average of time_complete" dataDxfId="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F465D0D-98B9-48F2-9C8C-C05604D3FA06}" name="Table2" displayName="Table2" ref="E23:G98" totalsRowShown="0" headerRowDxfId="4" headerRowBorderDxfId="3">
  <autoFilter ref="E23:G98" xr:uid="{6F465D0D-98B9-48F2-9C8C-C05604D3FA06}"/>
  <tableColumns count="3">
    <tableColumn id="1" xr3:uid="{AD4D6AC1-8759-4EFF-A1ED-B74BB12F526A}" name="Column1" dataDxfId="2"/>
    <tableColumn id="2" xr3:uid="{4AE0390C-8173-4C23-BBE1-89EA226BC616}" name="Column2" dataDxfId="1"/>
    <tableColumn id="3" xr3:uid="{5CB6FCB2-FFB5-4E74-BC74-5BC650CE7D79}" name="Column3"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1CBA8-57E6-4E9D-A45E-E75378655697}">
  <dimension ref="A1:H29"/>
  <sheetViews>
    <sheetView tabSelected="1" workbookViewId="0">
      <selection activeCell="A19" sqref="A19:H21"/>
    </sheetView>
  </sheetViews>
  <sheetFormatPr defaultRowHeight="15"/>
  <cols>
    <col min="1" max="8" width="18.28515625" customWidth="1"/>
  </cols>
  <sheetData>
    <row r="1" spans="1:8">
      <c r="A1" s="7" t="s">
        <v>0</v>
      </c>
      <c r="B1" s="8"/>
      <c r="C1" s="8"/>
      <c r="D1" s="8"/>
      <c r="E1" s="8"/>
      <c r="F1" s="8"/>
      <c r="G1" s="8"/>
      <c r="H1" s="9"/>
    </row>
    <row r="2" spans="1:8">
      <c r="A2" s="10"/>
      <c r="B2" s="11"/>
      <c r="C2" s="11"/>
      <c r="D2" s="11"/>
      <c r="E2" s="11"/>
      <c r="F2" s="11"/>
      <c r="G2" s="11"/>
      <c r="H2" s="12"/>
    </row>
    <row r="5" spans="1:8">
      <c r="A5" s="13" t="s">
        <v>1</v>
      </c>
      <c r="B5" s="13"/>
      <c r="C5" s="13"/>
      <c r="D5" s="13"/>
      <c r="E5" s="13"/>
      <c r="F5" s="13"/>
      <c r="G5" s="13"/>
      <c r="H5" s="13"/>
    </row>
    <row r="6" spans="1:8">
      <c r="A6" s="13"/>
      <c r="B6" s="13"/>
      <c r="C6" s="13"/>
      <c r="D6" s="13"/>
      <c r="E6" s="13"/>
      <c r="F6" s="13"/>
      <c r="G6" s="13"/>
      <c r="H6" s="13"/>
    </row>
    <row r="7" spans="1:8">
      <c r="A7" s="13"/>
      <c r="B7" s="13"/>
      <c r="C7" s="13"/>
      <c r="D7" s="13"/>
      <c r="E7" s="13"/>
      <c r="F7" s="13"/>
      <c r="G7" s="13"/>
      <c r="H7" s="13"/>
    </row>
    <row r="8" spans="1:8">
      <c r="A8" s="13"/>
      <c r="B8" s="13"/>
      <c r="C8" s="13"/>
      <c r="D8" s="13"/>
      <c r="E8" s="13"/>
      <c r="F8" s="13"/>
      <c r="G8" s="13"/>
      <c r="H8" s="13"/>
    </row>
    <row r="10" spans="1:8">
      <c r="A10" s="14" t="s">
        <v>2</v>
      </c>
      <c r="B10" s="13"/>
      <c r="C10" s="13"/>
      <c r="D10" s="13"/>
      <c r="E10" s="13"/>
      <c r="F10" s="13"/>
      <c r="G10" s="13"/>
      <c r="H10" s="13"/>
    </row>
    <row r="11" spans="1:8">
      <c r="A11" s="13" t="s">
        <v>3</v>
      </c>
      <c r="B11" s="13"/>
      <c r="C11" s="13"/>
      <c r="D11" s="13"/>
      <c r="E11" s="13"/>
      <c r="F11" s="13"/>
      <c r="G11" s="13"/>
      <c r="H11" s="13"/>
    </row>
    <row r="12" spans="1:8">
      <c r="A12" s="13"/>
      <c r="B12" s="13"/>
      <c r="C12" s="13"/>
      <c r="D12" s="13"/>
      <c r="E12" s="13"/>
      <c r="F12" s="13"/>
      <c r="G12" s="13"/>
      <c r="H12" s="13"/>
    </row>
    <row r="13" spans="1:8">
      <c r="A13" s="13"/>
      <c r="B13" s="13"/>
      <c r="C13" s="13"/>
      <c r="D13" s="13"/>
      <c r="E13" s="13"/>
      <c r="F13" s="13"/>
      <c r="G13" s="13"/>
      <c r="H13" s="13"/>
    </row>
    <row r="15" spans="1:8">
      <c r="A15" s="15" t="s">
        <v>4</v>
      </c>
      <c r="B15" s="15"/>
      <c r="C15" s="15"/>
      <c r="D15" s="15"/>
      <c r="E15" s="15"/>
      <c r="F15" s="15"/>
      <c r="G15" s="15"/>
      <c r="H15" s="15"/>
    </row>
    <row r="16" spans="1:8">
      <c r="A16" s="15"/>
      <c r="B16" s="15"/>
      <c r="C16" s="15"/>
      <c r="D16" s="15"/>
      <c r="E16" s="15"/>
      <c r="F16" s="15"/>
      <c r="G16" s="15"/>
      <c r="H16" s="15"/>
    </row>
    <row r="17" spans="1:8">
      <c r="A17" s="15"/>
      <c r="B17" s="15"/>
      <c r="C17" s="15"/>
      <c r="D17" s="15"/>
      <c r="E17" s="15"/>
      <c r="F17" s="15"/>
      <c r="G17" s="15"/>
      <c r="H17" s="15"/>
    </row>
    <row r="19" spans="1:8">
      <c r="A19" s="13" t="s">
        <v>5</v>
      </c>
      <c r="B19" s="13"/>
      <c r="C19" s="13"/>
      <c r="D19" s="13"/>
      <c r="E19" s="13"/>
      <c r="F19" s="13"/>
      <c r="G19" s="13"/>
      <c r="H19" s="13"/>
    </row>
    <row r="20" spans="1:8">
      <c r="A20" s="13"/>
      <c r="B20" s="13"/>
      <c r="C20" s="13"/>
      <c r="D20" s="13"/>
      <c r="E20" s="13"/>
      <c r="F20" s="13"/>
      <c r="G20" s="13"/>
      <c r="H20" s="13"/>
    </row>
    <row r="21" spans="1:8">
      <c r="A21" s="13"/>
      <c r="B21" s="13"/>
      <c r="C21" s="13"/>
      <c r="D21" s="13"/>
      <c r="E21" s="13"/>
      <c r="F21" s="13"/>
      <c r="G21" s="13"/>
      <c r="H21" s="13"/>
    </row>
    <row r="23" spans="1:8">
      <c r="A23" s="16"/>
      <c r="B23" s="16"/>
      <c r="C23" s="16"/>
      <c r="D23" s="16"/>
      <c r="E23" s="16"/>
      <c r="F23" s="16"/>
      <c r="G23" s="16"/>
      <c r="H23" s="16"/>
    </row>
    <row r="24" spans="1:8" ht="18.75">
      <c r="A24" s="17" t="s">
        <v>6</v>
      </c>
      <c r="B24" s="15"/>
      <c r="C24" s="15"/>
      <c r="D24" s="15"/>
      <c r="E24" s="15"/>
      <c r="F24" s="15"/>
      <c r="G24" s="15"/>
      <c r="H24" s="15"/>
    </row>
    <row r="25" spans="1:8">
      <c r="A25" s="15" t="s">
        <v>7</v>
      </c>
      <c r="B25" s="15"/>
      <c r="C25" s="15"/>
      <c r="D25" s="15"/>
      <c r="E25" s="15"/>
      <c r="F25" s="15"/>
      <c r="G25" s="15"/>
      <c r="H25" s="15"/>
    </row>
    <row r="26" spans="1:8">
      <c r="A26" s="15"/>
      <c r="B26" s="15"/>
      <c r="C26" s="15"/>
      <c r="D26" s="15"/>
      <c r="E26" s="15"/>
      <c r="F26" s="15"/>
      <c r="G26" s="15"/>
      <c r="H26" s="15"/>
    </row>
    <row r="28" spans="1:8">
      <c r="A28" s="13" t="s">
        <v>8</v>
      </c>
      <c r="B28" s="13"/>
      <c r="C28" s="13"/>
      <c r="D28" s="13"/>
      <c r="E28" s="13"/>
      <c r="F28" s="13"/>
      <c r="G28" s="13"/>
      <c r="H28" s="13"/>
    </row>
    <row r="29" spans="1:8">
      <c r="A29" s="13"/>
      <c r="B29" s="13"/>
      <c r="C29" s="13"/>
      <c r="D29" s="13"/>
      <c r="E29" s="13"/>
      <c r="F29" s="13"/>
      <c r="G29" s="13"/>
      <c r="H29" s="13"/>
    </row>
  </sheetData>
  <mergeCells count="9">
    <mergeCell ref="A24:H24"/>
    <mergeCell ref="A25:H26"/>
    <mergeCell ref="A28:H29"/>
    <mergeCell ref="A1:H2"/>
    <mergeCell ref="A5:H8"/>
    <mergeCell ref="A10:H10"/>
    <mergeCell ref="A11:H13"/>
    <mergeCell ref="A15:H17"/>
    <mergeCell ref="A19:H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59C16-D464-469D-80FE-8B7631984B5E}">
  <dimension ref="A1:Q270"/>
  <sheetViews>
    <sheetView topLeftCell="G163" workbookViewId="0">
      <selection activeCell="L149" sqref="L149"/>
    </sheetView>
  </sheetViews>
  <sheetFormatPr defaultRowHeight="15"/>
  <cols>
    <col min="1" max="1" width="30.7109375" bestFit="1" customWidth="1"/>
    <col min="2" max="2" width="11.5703125" bestFit="1" customWidth="1"/>
    <col min="3" max="3" width="12.140625" customWidth="1"/>
    <col min="4" max="4" width="26.140625" bestFit="1" customWidth="1"/>
    <col min="5" max="5" width="20.85546875" bestFit="1" customWidth="1"/>
    <col min="6" max="6" width="22.42578125" bestFit="1" customWidth="1"/>
    <col min="7" max="7" width="17.140625" bestFit="1" customWidth="1"/>
    <col min="8" max="8" width="26.7109375" bestFit="1" customWidth="1"/>
    <col min="9" max="9" width="30.7109375" bestFit="1" customWidth="1"/>
    <col min="11" max="11" width="13.7109375" bestFit="1" customWidth="1"/>
    <col min="12" max="12" width="12.7109375" bestFit="1" customWidth="1"/>
    <col min="13" max="13" width="17.7109375" bestFit="1" customWidth="1"/>
    <col min="14" max="14" width="16.7109375" bestFit="1" customWidth="1"/>
    <col min="15" max="15" width="16.7109375" customWidth="1"/>
    <col min="16" max="16" width="30.7109375" bestFit="1" customWidth="1"/>
  </cols>
  <sheetData>
    <row r="1" spans="1:17">
      <c r="A1" t="s">
        <v>9</v>
      </c>
      <c r="B1" t="s">
        <v>10</v>
      </c>
      <c r="C1" t="s">
        <v>11</v>
      </c>
      <c r="D1" t="s">
        <v>12</v>
      </c>
      <c r="E1" t="s">
        <v>13</v>
      </c>
      <c r="F1" t="s">
        <v>14</v>
      </c>
      <c r="G1" t="s">
        <v>15</v>
      </c>
      <c r="H1" t="s">
        <v>16</v>
      </c>
      <c r="I1" t="s">
        <v>17</v>
      </c>
      <c r="J1" t="s">
        <v>18</v>
      </c>
      <c r="K1" t="s">
        <v>19</v>
      </c>
      <c r="L1" t="s">
        <v>20</v>
      </c>
      <c r="M1" t="s">
        <v>21</v>
      </c>
      <c r="N1" t="s">
        <v>22</v>
      </c>
      <c r="O1" s="5" t="s">
        <v>23</v>
      </c>
      <c r="P1" s="5" t="s">
        <v>24</v>
      </c>
      <c r="Q1" t="s">
        <v>25</v>
      </c>
    </row>
    <row r="2" spans="1:17">
      <c r="A2" t="s">
        <v>26</v>
      </c>
      <c r="B2">
        <v>796640</v>
      </c>
      <c r="C2" t="s">
        <v>27</v>
      </c>
      <c r="D2">
        <v>0</v>
      </c>
      <c r="E2">
        <v>1113</v>
      </c>
      <c r="F2" t="s">
        <v>28</v>
      </c>
      <c r="G2" s="1">
        <v>43152</v>
      </c>
      <c r="H2">
        <v>41</v>
      </c>
      <c r="I2" t="s">
        <v>29</v>
      </c>
      <c r="J2">
        <v>150</v>
      </c>
      <c r="M2">
        <v>3</v>
      </c>
      <c r="N2">
        <v>64</v>
      </c>
      <c r="O2" t="str">
        <f t="shared" ref="O2:O65" si="0">"Q"&amp;ROUNDUP(MONTH(G2)/3,0)&amp;" "&amp;YEAR(G2)</f>
        <v>Q1 2018</v>
      </c>
      <c r="P2" s="1">
        <f t="shared" ref="P2:P65" si="1">DATE(YEAR(G2),3*ROUNDUP(MONTH(G2)/3,0)-2,1)</f>
        <v>43101</v>
      </c>
      <c r="Q2" t="s">
        <v>30</v>
      </c>
    </row>
    <row r="3" spans="1:17">
      <c r="A3" t="s">
        <v>31</v>
      </c>
      <c r="B3">
        <v>543460</v>
      </c>
      <c r="C3" t="s">
        <v>27</v>
      </c>
      <c r="D3">
        <v>0</v>
      </c>
      <c r="E3">
        <v>104</v>
      </c>
      <c r="F3" t="s">
        <v>28</v>
      </c>
      <c r="G3" s="1">
        <v>42808</v>
      </c>
      <c r="H3">
        <v>4725</v>
      </c>
      <c r="I3" t="s">
        <v>32</v>
      </c>
      <c r="J3">
        <v>53</v>
      </c>
      <c r="K3">
        <v>135</v>
      </c>
      <c r="L3">
        <v>600</v>
      </c>
      <c r="M3">
        <v>11</v>
      </c>
      <c r="N3">
        <v>2552</v>
      </c>
      <c r="O3" t="str">
        <f t="shared" si="0"/>
        <v>Q1 2017</v>
      </c>
      <c r="P3" s="1">
        <f t="shared" si="1"/>
        <v>42736</v>
      </c>
      <c r="Q3" t="s">
        <v>33</v>
      </c>
    </row>
    <row r="4" spans="1:17">
      <c r="A4" t="s">
        <v>34</v>
      </c>
      <c r="B4">
        <v>711070</v>
      </c>
      <c r="C4" t="s">
        <v>27</v>
      </c>
      <c r="D4">
        <v>5</v>
      </c>
      <c r="E4">
        <v>100</v>
      </c>
      <c r="F4" t="s">
        <v>28</v>
      </c>
      <c r="G4" s="1">
        <v>43009</v>
      </c>
      <c r="H4">
        <v>25</v>
      </c>
      <c r="I4" t="s">
        <v>35</v>
      </c>
      <c r="J4">
        <v>125</v>
      </c>
      <c r="K4">
        <v>1</v>
      </c>
      <c r="L4">
        <v>24</v>
      </c>
      <c r="M4">
        <v>4</v>
      </c>
      <c r="N4">
        <v>68</v>
      </c>
      <c r="O4" t="str">
        <f t="shared" si="0"/>
        <v>Q4 2017</v>
      </c>
      <c r="P4" s="1">
        <f t="shared" si="1"/>
        <v>43009</v>
      </c>
      <c r="Q4" t="s">
        <v>36</v>
      </c>
    </row>
    <row r="5" spans="1:17">
      <c r="A5" t="s">
        <v>37</v>
      </c>
      <c r="B5">
        <v>711320</v>
      </c>
      <c r="C5" t="s">
        <v>27</v>
      </c>
      <c r="D5">
        <v>0</v>
      </c>
      <c r="E5">
        <v>51</v>
      </c>
      <c r="F5" t="s">
        <v>28</v>
      </c>
      <c r="G5" s="1">
        <v>42999</v>
      </c>
      <c r="H5">
        <v>58</v>
      </c>
      <c r="I5" t="s">
        <v>38</v>
      </c>
      <c r="O5" t="str">
        <f t="shared" si="0"/>
        <v>Q3 2017</v>
      </c>
      <c r="P5" s="1">
        <f t="shared" si="1"/>
        <v>42917</v>
      </c>
      <c r="Q5" t="s">
        <v>39</v>
      </c>
    </row>
    <row r="6" spans="1:17">
      <c r="A6" t="s">
        <v>40</v>
      </c>
      <c r="B6">
        <v>304530</v>
      </c>
      <c r="C6" t="s">
        <v>27</v>
      </c>
      <c r="D6">
        <v>0</v>
      </c>
      <c r="E6">
        <v>49</v>
      </c>
      <c r="F6" t="s">
        <v>28</v>
      </c>
      <c r="G6" s="1">
        <v>42962</v>
      </c>
      <c r="H6">
        <v>3256</v>
      </c>
      <c r="I6" t="s">
        <v>41</v>
      </c>
      <c r="J6">
        <v>10</v>
      </c>
      <c r="K6">
        <v>79</v>
      </c>
      <c r="L6">
        <v>993</v>
      </c>
      <c r="M6">
        <v>34</v>
      </c>
      <c r="N6">
        <v>2947</v>
      </c>
      <c r="O6" t="str">
        <f t="shared" si="0"/>
        <v>Q3 2017</v>
      </c>
      <c r="P6" s="1">
        <f t="shared" si="1"/>
        <v>42917</v>
      </c>
      <c r="Q6" t="s">
        <v>42</v>
      </c>
    </row>
    <row r="7" spans="1:17">
      <c r="A7" t="s">
        <v>43</v>
      </c>
      <c r="B7">
        <v>239160</v>
      </c>
      <c r="C7" t="s">
        <v>27</v>
      </c>
      <c r="D7">
        <v>0</v>
      </c>
      <c r="E7">
        <v>37</v>
      </c>
      <c r="F7" t="s">
        <v>28</v>
      </c>
      <c r="G7" s="1">
        <v>41697</v>
      </c>
      <c r="H7">
        <v>17285</v>
      </c>
      <c r="I7" t="s">
        <v>44</v>
      </c>
      <c r="J7">
        <v>222</v>
      </c>
      <c r="K7">
        <v>390</v>
      </c>
      <c r="L7">
        <v>685</v>
      </c>
      <c r="M7">
        <v>78</v>
      </c>
      <c r="N7">
        <v>2817</v>
      </c>
      <c r="O7" t="str">
        <f t="shared" si="0"/>
        <v>Q1 2014</v>
      </c>
      <c r="P7" s="1">
        <f t="shared" si="1"/>
        <v>41640</v>
      </c>
      <c r="Q7" t="s">
        <v>45</v>
      </c>
    </row>
    <row r="8" spans="1:17">
      <c r="A8" t="s">
        <v>46</v>
      </c>
      <c r="B8">
        <v>274290</v>
      </c>
      <c r="C8" t="s">
        <v>27</v>
      </c>
      <c r="D8">
        <v>0</v>
      </c>
      <c r="E8">
        <v>35</v>
      </c>
      <c r="F8" t="s">
        <v>28</v>
      </c>
      <c r="G8" s="1">
        <v>41844</v>
      </c>
      <c r="H8">
        <v>2228</v>
      </c>
      <c r="I8" t="s">
        <v>47</v>
      </c>
      <c r="J8">
        <v>101</v>
      </c>
      <c r="K8">
        <v>42</v>
      </c>
      <c r="L8">
        <v>394</v>
      </c>
      <c r="M8">
        <v>7</v>
      </c>
      <c r="N8">
        <v>1131</v>
      </c>
      <c r="O8" t="str">
        <f t="shared" si="0"/>
        <v>Q3 2014</v>
      </c>
      <c r="P8" s="1">
        <f t="shared" si="1"/>
        <v>41821</v>
      </c>
      <c r="Q8" t="s">
        <v>48</v>
      </c>
    </row>
    <row r="9" spans="1:17">
      <c r="A9" t="s">
        <v>49</v>
      </c>
      <c r="B9">
        <v>682910</v>
      </c>
      <c r="C9" t="s">
        <v>27</v>
      </c>
      <c r="D9">
        <v>0</v>
      </c>
      <c r="E9">
        <v>27</v>
      </c>
      <c r="F9" t="s">
        <v>28</v>
      </c>
      <c r="G9" s="1">
        <v>42954</v>
      </c>
      <c r="H9">
        <v>49</v>
      </c>
      <c r="I9" t="s">
        <v>29</v>
      </c>
      <c r="J9">
        <v>153</v>
      </c>
      <c r="O9" t="str">
        <f t="shared" si="0"/>
        <v>Q3 2017</v>
      </c>
      <c r="P9" s="1">
        <f t="shared" si="1"/>
        <v>42917</v>
      </c>
      <c r="Q9" t="s">
        <v>50</v>
      </c>
    </row>
    <row r="10" spans="1:17">
      <c r="A10" t="s">
        <v>51</v>
      </c>
      <c r="B10">
        <v>573600</v>
      </c>
      <c r="C10" t="s">
        <v>27</v>
      </c>
      <c r="D10">
        <v>0</v>
      </c>
      <c r="E10">
        <v>27</v>
      </c>
      <c r="F10" t="s">
        <v>28</v>
      </c>
      <c r="G10" s="1">
        <v>43027</v>
      </c>
      <c r="H10">
        <v>104</v>
      </c>
      <c r="I10" t="s">
        <v>52</v>
      </c>
      <c r="O10" t="str">
        <f t="shared" si="0"/>
        <v>Q4 2017</v>
      </c>
      <c r="P10" s="1">
        <f t="shared" si="1"/>
        <v>43009</v>
      </c>
      <c r="Q10" t="s">
        <v>53</v>
      </c>
    </row>
    <row r="11" spans="1:17">
      <c r="A11" t="s">
        <v>54</v>
      </c>
      <c r="B11">
        <v>207000</v>
      </c>
      <c r="C11" t="s">
        <v>27</v>
      </c>
      <c r="D11">
        <v>0</v>
      </c>
      <c r="E11">
        <v>25</v>
      </c>
      <c r="F11" t="s">
        <v>28</v>
      </c>
      <c r="G11" s="1">
        <v>41353</v>
      </c>
      <c r="H11">
        <v>41</v>
      </c>
      <c r="I11" t="s">
        <v>55</v>
      </c>
      <c r="J11">
        <v>12</v>
      </c>
      <c r="K11">
        <v>1</v>
      </c>
      <c r="L11">
        <v>995</v>
      </c>
      <c r="O11" t="str">
        <f t="shared" si="0"/>
        <v>Q1 2013</v>
      </c>
      <c r="P11" s="1">
        <f t="shared" si="1"/>
        <v>41275</v>
      </c>
      <c r="Q11" t="s">
        <v>56</v>
      </c>
    </row>
    <row r="12" spans="1:17">
      <c r="A12" t="s">
        <v>57</v>
      </c>
      <c r="B12">
        <v>586200</v>
      </c>
      <c r="C12" t="s">
        <v>27</v>
      </c>
      <c r="D12">
        <v>0</v>
      </c>
      <c r="E12">
        <v>17</v>
      </c>
      <c r="F12" t="s">
        <v>28</v>
      </c>
      <c r="G12" s="1">
        <v>43249</v>
      </c>
      <c r="H12">
        <v>2276</v>
      </c>
      <c r="I12" t="s">
        <v>58</v>
      </c>
      <c r="J12">
        <v>202</v>
      </c>
      <c r="K12">
        <v>18</v>
      </c>
      <c r="L12">
        <v>430</v>
      </c>
      <c r="M12">
        <v>7</v>
      </c>
      <c r="N12">
        <v>1558</v>
      </c>
      <c r="O12" t="str">
        <f t="shared" si="0"/>
        <v>Q2 2018</v>
      </c>
      <c r="P12" s="1">
        <f t="shared" si="1"/>
        <v>43191</v>
      </c>
      <c r="Q12" t="s">
        <v>59</v>
      </c>
    </row>
    <row r="13" spans="1:17">
      <c r="A13" t="s">
        <v>60</v>
      </c>
      <c r="B13">
        <v>369110</v>
      </c>
      <c r="C13" t="s">
        <v>27</v>
      </c>
      <c r="D13">
        <v>0</v>
      </c>
      <c r="E13">
        <v>15</v>
      </c>
      <c r="F13" t="s">
        <v>28</v>
      </c>
      <c r="G13" s="1">
        <v>42213</v>
      </c>
      <c r="H13">
        <v>501</v>
      </c>
      <c r="I13" t="s">
        <v>61</v>
      </c>
      <c r="J13">
        <v>219</v>
      </c>
      <c r="K13">
        <v>9</v>
      </c>
      <c r="L13">
        <v>612</v>
      </c>
      <c r="O13" t="str">
        <f t="shared" si="0"/>
        <v>Q3 2015</v>
      </c>
      <c r="P13" s="1">
        <f t="shared" si="1"/>
        <v>42186</v>
      </c>
      <c r="Q13" t="s">
        <v>62</v>
      </c>
    </row>
    <row r="14" spans="1:17">
      <c r="A14" t="s">
        <v>63</v>
      </c>
      <c r="B14">
        <v>229810</v>
      </c>
      <c r="C14" t="s">
        <v>27</v>
      </c>
      <c r="D14">
        <v>0</v>
      </c>
      <c r="E14">
        <v>13</v>
      </c>
      <c r="F14" t="s">
        <v>28</v>
      </c>
      <c r="G14" s="1">
        <v>42270</v>
      </c>
      <c r="H14">
        <v>137</v>
      </c>
      <c r="I14" t="s">
        <v>47</v>
      </c>
      <c r="J14">
        <v>3</v>
      </c>
      <c r="K14">
        <v>4</v>
      </c>
      <c r="L14">
        <v>187</v>
      </c>
      <c r="M14">
        <v>2</v>
      </c>
      <c r="N14">
        <v>362</v>
      </c>
      <c r="O14" t="str">
        <f t="shared" si="0"/>
        <v>Q3 2015</v>
      </c>
      <c r="P14" s="1">
        <f t="shared" si="1"/>
        <v>42186</v>
      </c>
      <c r="Q14" t="s">
        <v>64</v>
      </c>
    </row>
    <row r="15" spans="1:17">
      <c r="A15" t="s">
        <v>65</v>
      </c>
      <c r="B15">
        <v>785740</v>
      </c>
      <c r="C15" t="s">
        <v>27</v>
      </c>
      <c r="D15">
        <v>0</v>
      </c>
      <c r="E15">
        <v>12</v>
      </c>
      <c r="F15" t="s">
        <v>28</v>
      </c>
      <c r="G15" s="1">
        <v>43312</v>
      </c>
      <c r="H15">
        <v>5297</v>
      </c>
      <c r="I15" t="s">
        <v>66</v>
      </c>
      <c r="J15">
        <v>225</v>
      </c>
      <c r="K15">
        <v>20</v>
      </c>
      <c r="L15">
        <v>1253</v>
      </c>
      <c r="M15">
        <v>17</v>
      </c>
      <c r="N15">
        <v>1849</v>
      </c>
      <c r="O15" t="str">
        <f t="shared" si="0"/>
        <v>Q3 2018</v>
      </c>
      <c r="P15" s="1">
        <f t="shared" si="1"/>
        <v>43282</v>
      </c>
      <c r="Q15" t="s">
        <v>67</v>
      </c>
    </row>
    <row r="16" spans="1:17">
      <c r="A16" t="s">
        <v>68</v>
      </c>
      <c r="B16">
        <v>1057750</v>
      </c>
      <c r="C16" t="s">
        <v>27</v>
      </c>
      <c r="D16">
        <v>0</v>
      </c>
      <c r="E16">
        <v>11</v>
      </c>
      <c r="F16" t="s">
        <v>28</v>
      </c>
      <c r="G16" s="1">
        <v>43880</v>
      </c>
      <c r="H16">
        <v>5270</v>
      </c>
      <c r="I16" t="s">
        <v>69</v>
      </c>
      <c r="J16">
        <v>218</v>
      </c>
      <c r="K16">
        <v>163</v>
      </c>
      <c r="L16">
        <v>215</v>
      </c>
      <c r="M16">
        <v>155</v>
      </c>
      <c r="N16">
        <v>265</v>
      </c>
      <c r="O16" t="str">
        <f t="shared" si="0"/>
        <v>Q1 2020</v>
      </c>
      <c r="P16" s="1">
        <f t="shared" si="1"/>
        <v>43831</v>
      </c>
      <c r="Q16" t="s">
        <v>70</v>
      </c>
    </row>
    <row r="17" spans="1:17">
      <c r="A17" t="s">
        <v>71</v>
      </c>
      <c r="B17">
        <v>6920</v>
      </c>
      <c r="C17" t="s">
        <v>72</v>
      </c>
      <c r="F17" t="s">
        <v>28</v>
      </c>
      <c r="G17" s="1">
        <v>38051</v>
      </c>
      <c r="H17">
        <v>2178</v>
      </c>
      <c r="I17" t="s">
        <v>44</v>
      </c>
      <c r="J17">
        <v>61</v>
      </c>
      <c r="K17">
        <v>82</v>
      </c>
      <c r="L17">
        <v>544</v>
      </c>
      <c r="M17">
        <v>53</v>
      </c>
      <c r="N17">
        <v>1217</v>
      </c>
      <c r="O17" t="str">
        <f t="shared" si="0"/>
        <v>Q1 2004</v>
      </c>
      <c r="P17" s="1">
        <f t="shared" si="1"/>
        <v>37987</v>
      </c>
      <c r="Q17" t="s">
        <v>73</v>
      </c>
    </row>
    <row r="18" spans="1:17">
      <c r="A18" t="s">
        <v>74</v>
      </c>
      <c r="B18">
        <v>227760</v>
      </c>
      <c r="C18" t="s">
        <v>72</v>
      </c>
      <c r="F18" t="s">
        <v>28</v>
      </c>
      <c r="G18" s="1">
        <v>41323</v>
      </c>
      <c r="H18">
        <v>273</v>
      </c>
      <c r="I18" t="s">
        <v>75</v>
      </c>
      <c r="J18">
        <v>136</v>
      </c>
      <c r="K18">
        <v>1</v>
      </c>
      <c r="L18">
        <v>209</v>
      </c>
      <c r="O18" t="str">
        <f t="shared" si="0"/>
        <v>Q1 2013</v>
      </c>
      <c r="P18" s="1">
        <f t="shared" si="1"/>
        <v>41275</v>
      </c>
      <c r="Q18" t="s">
        <v>76</v>
      </c>
    </row>
    <row r="19" spans="1:17">
      <c r="A19" t="s">
        <v>77</v>
      </c>
      <c r="B19">
        <v>73210</v>
      </c>
      <c r="C19" t="s">
        <v>72</v>
      </c>
      <c r="F19" t="s">
        <v>28</v>
      </c>
      <c r="G19" s="1">
        <v>40801</v>
      </c>
      <c r="H19">
        <v>378</v>
      </c>
      <c r="I19" t="s">
        <v>75</v>
      </c>
      <c r="J19">
        <v>189</v>
      </c>
      <c r="K19">
        <v>2</v>
      </c>
      <c r="L19">
        <v>1954</v>
      </c>
      <c r="O19" t="str">
        <f t="shared" si="0"/>
        <v>Q3 2011</v>
      </c>
      <c r="P19" s="1">
        <f t="shared" si="1"/>
        <v>40725</v>
      </c>
      <c r="Q19" t="s">
        <v>78</v>
      </c>
    </row>
    <row r="20" spans="1:17">
      <c r="A20" t="s">
        <v>79</v>
      </c>
      <c r="B20">
        <v>19000</v>
      </c>
      <c r="C20" t="s">
        <v>72</v>
      </c>
      <c r="F20" t="s">
        <v>28</v>
      </c>
      <c r="G20" s="1">
        <v>39874</v>
      </c>
      <c r="H20">
        <v>2592</v>
      </c>
      <c r="I20" t="s">
        <v>80</v>
      </c>
      <c r="J20">
        <v>191</v>
      </c>
      <c r="K20">
        <v>148</v>
      </c>
      <c r="L20">
        <v>579</v>
      </c>
      <c r="M20">
        <v>26</v>
      </c>
      <c r="N20">
        <v>1061</v>
      </c>
      <c r="O20" t="str">
        <f t="shared" si="0"/>
        <v>Q1 2009</v>
      </c>
      <c r="P20" s="1">
        <f t="shared" si="1"/>
        <v>39814</v>
      </c>
      <c r="Q20" t="s">
        <v>81</v>
      </c>
    </row>
    <row r="21" spans="1:17">
      <c r="A21" t="s">
        <v>82</v>
      </c>
      <c r="B21">
        <v>3062930</v>
      </c>
      <c r="C21" t="s">
        <v>72</v>
      </c>
      <c r="F21" t="s">
        <v>28</v>
      </c>
      <c r="G21" s="1">
        <v>45575</v>
      </c>
      <c r="H21">
        <v>86</v>
      </c>
      <c r="I21" t="s">
        <v>83</v>
      </c>
      <c r="J21">
        <v>232</v>
      </c>
      <c r="K21">
        <v>2</v>
      </c>
      <c r="L21">
        <v>41</v>
      </c>
      <c r="O21" t="str">
        <f t="shared" si="0"/>
        <v>Q4 2024</v>
      </c>
      <c r="P21" s="1">
        <f t="shared" si="1"/>
        <v>45566</v>
      </c>
      <c r="Q21" t="s">
        <v>84</v>
      </c>
    </row>
    <row r="22" spans="1:17">
      <c r="A22" t="s">
        <v>85</v>
      </c>
      <c r="B22">
        <v>258180</v>
      </c>
      <c r="C22" t="s">
        <v>27</v>
      </c>
      <c r="D22">
        <v>0</v>
      </c>
      <c r="E22">
        <v>28</v>
      </c>
      <c r="F22" t="s">
        <v>86</v>
      </c>
      <c r="G22" s="1">
        <v>41716</v>
      </c>
      <c r="H22">
        <v>3741</v>
      </c>
      <c r="I22" t="s">
        <v>44</v>
      </c>
      <c r="J22">
        <v>63</v>
      </c>
      <c r="K22">
        <v>75</v>
      </c>
      <c r="L22">
        <v>258</v>
      </c>
      <c r="M22">
        <v>62</v>
      </c>
      <c r="N22">
        <v>488</v>
      </c>
      <c r="O22" t="str">
        <f t="shared" si="0"/>
        <v>Q1 2014</v>
      </c>
      <c r="P22" s="1">
        <f t="shared" si="1"/>
        <v>41640</v>
      </c>
      <c r="Q22" t="s">
        <v>87</v>
      </c>
    </row>
    <row r="23" spans="1:17">
      <c r="A23" t="s">
        <v>88</v>
      </c>
      <c r="B23">
        <v>788510</v>
      </c>
      <c r="C23" t="s">
        <v>27</v>
      </c>
      <c r="D23">
        <v>0</v>
      </c>
      <c r="E23">
        <v>11</v>
      </c>
      <c r="F23" t="s">
        <v>86</v>
      </c>
      <c r="G23" s="1">
        <v>25753</v>
      </c>
      <c r="H23">
        <v>28</v>
      </c>
      <c r="I23" t="s">
        <v>89</v>
      </c>
      <c r="J23">
        <v>8</v>
      </c>
      <c r="M23">
        <v>6</v>
      </c>
      <c r="N23">
        <v>54</v>
      </c>
      <c r="O23" t="str">
        <f t="shared" si="0"/>
        <v>Q3 1970</v>
      </c>
      <c r="P23" s="1">
        <f t="shared" si="1"/>
        <v>25750</v>
      </c>
      <c r="Q23" t="s">
        <v>90</v>
      </c>
    </row>
    <row r="24" spans="1:17">
      <c r="A24" t="s">
        <v>91</v>
      </c>
      <c r="B24">
        <v>1017100</v>
      </c>
      <c r="C24" t="s">
        <v>27</v>
      </c>
      <c r="D24">
        <v>6</v>
      </c>
      <c r="E24">
        <v>100</v>
      </c>
      <c r="F24" t="s">
        <v>92</v>
      </c>
      <c r="G24" s="1">
        <v>43718</v>
      </c>
      <c r="H24">
        <v>1709</v>
      </c>
      <c r="I24" t="s">
        <v>93</v>
      </c>
      <c r="O24" t="str">
        <f t="shared" si="0"/>
        <v>Q3 2019</v>
      </c>
      <c r="P24" s="1">
        <f t="shared" si="1"/>
        <v>43647</v>
      </c>
      <c r="Q24" t="s">
        <v>94</v>
      </c>
    </row>
    <row r="25" spans="1:17">
      <c r="A25" t="s">
        <v>95</v>
      </c>
      <c r="B25">
        <v>236390</v>
      </c>
      <c r="C25" t="s">
        <v>27</v>
      </c>
      <c r="D25">
        <v>1</v>
      </c>
      <c r="E25">
        <v>91</v>
      </c>
      <c r="F25" t="s">
        <v>92</v>
      </c>
      <c r="G25" s="1">
        <v>41501</v>
      </c>
      <c r="H25">
        <v>767095</v>
      </c>
      <c r="I25" t="s">
        <v>96</v>
      </c>
      <c r="O25" t="str">
        <f t="shared" si="0"/>
        <v>Q3 2013</v>
      </c>
      <c r="P25" s="1">
        <f t="shared" si="1"/>
        <v>41456</v>
      </c>
      <c r="Q25" t="s">
        <v>97</v>
      </c>
    </row>
    <row r="26" spans="1:17">
      <c r="A26" t="s">
        <v>98</v>
      </c>
      <c r="B26">
        <v>337000</v>
      </c>
      <c r="C26" t="s">
        <v>27</v>
      </c>
      <c r="D26">
        <v>0</v>
      </c>
      <c r="E26">
        <v>81</v>
      </c>
      <c r="F26" t="s">
        <v>92</v>
      </c>
      <c r="G26" s="1">
        <v>42605</v>
      </c>
      <c r="H26">
        <v>30524</v>
      </c>
      <c r="I26" t="s">
        <v>44</v>
      </c>
      <c r="O26" t="str">
        <f t="shared" si="0"/>
        <v>Q3 2016</v>
      </c>
      <c r="P26" s="1">
        <f t="shared" si="1"/>
        <v>42552</v>
      </c>
      <c r="Q26" t="s">
        <v>99</v>
      </c>
    </row>
    <row r="27" spans="1:17">
      <c r="A27" t="s">
        <v>100</v>
      </c>
      <c r="B27">
        <v>612880</v>
      </c>
      <c r="C27" t="s">
        <v>27</v>
      </c>
      <c r="D27">
        <v>0</v>
      </c>
      <c r="E27">
        <v>80</v>
      </c>
      <c r="F27" t="s">
        <v>92</v>
      </c>
      <c r="G27" s="1">
        <v>43034</v>
      </c>
      <c r="H27">
        <v>34659</v>
      </c>
      <c r="I27" t="s">
        <v>101</v>
      </c>
      <c r="J27">
        <v>239</v>
      </c>
      <c r="K27">
        <v>1600</v>
      </c>
      <c r="L27">
        <v>660</v>
      </c>
      <c r="M27">
        <v>118</v>
      </c>
      <c r="N27">
        <v>2142</v>
      </c>
      <c r="O27" t="str">
        <f t="shared" si="0"/>
        <v>Q4 2017</v>
      </c>
      <c r="P27" s="1">
        <f t="shared" si="1"/>
        <v>43009</v>
      </c>
      <c r="Q27" t="s">
        <v>102</v>
      </c>
    </row>
    <row r="28" spans="1:17">
      <c r="A28" t="s">
        <v>103</v>
      </c>
      <c r="B28">
        <v>2543510</v>
      </c>
      <c r="C28" t="s">
        <v>27</v>
      </c>
      <c r="D28">
        <v>0</v>
      </c>
      <c r="E28">
        <v>79</v>
      </c>
      <c r="F28" t="s">
        <v>92</v>
      </c>
      <c r="G28" s="1">
        <v>45876</v>
      </c>
      <c r="H28">
        <v>327</v>
      </c>
      <c r="I28" t="s">
        <v>104</v>
      </c>
      <c r="J28">
        <v>103</v>
      </c>
      <c r="K28">
        <v>7</v>
      </c>
      <c r="L28">
        <v>181</v>
      </c>
      <c r="M28">
        <v>2</v>
      </c>
      <c r="N28">
        <v>2310</v>
      </c>
      <c r="O28" t="str">
        <f t="shared" si="0"/>
        <v>Q3 2025</v>
      </c>
      <c r="P28" s="1">
        <f t="shared" si="1"/>
        <v>45839</v>
      </c>
      <c r="Q28" t="s">
        <v>105</v>
      </c>
    </row>
    <row r="29" spans="1:17">
      <c r="A29" t="s">
        <v>106</v>
      </c>
      <c r="B29">
        <v>238090</v>
      </c>
      <c r="C29" t="s">
        <v>27</v>
      </c>
      <c r="D29">
        <v>0</v>
      </c>
      <c r="E29">
        <v>77</v>
      </c>
      <c r="F29" t="s">
        <v>92</v>
      </c>
      <c r="G29" s="1">
        <v>41817</v>
      </c>
      <c r="H29">
        <v>21302</v>
      </c>
      <c r="I29" t="s">
        <v>107</v>
      </c>
      <c r="O29" t="str">
        <f t="shared" si="0"/>
        <v>Q2 2014</v>
      </c>
      <c r="P29" s="1">
        <f t="shared" si="1"/>
        <v>41730</v>
      </c>
      <c r="Q29" t="s">
        <v>108</v>
      </c>
    </row>
    <row r="30" spans="1:17">
      <c r="A30" t="s">
        <v>109</v>
      </c>
      <c r="B30">
        <v>468670</v>
      </c>
      <c r="C30" t="s">
        <v>27</v>
      </c>
      <c r="D30">
        <v>0</v>
      </c>
      <c r="E30">
        <v>59</v>
      </c>
      <c r="F30" t="s">
        <v>92</v>
      </c>
      <c r="G30" s="1">
        <v>43361</v>
      </c>
      <c r="H30">
        <v>81</v>
      </c>
      <c r="I30" t="s">
        <v>110</v>
      </c>
      <c r="J30">
        <v>196</v>
      </c>
      <c r="K30">
        <v>5</v>
      </c>
      <c r="L30">
        <v>452</v>
      </c>
      <c r="M30">
        <v>1</v>
      </c>
      <c r="N30">
        <v>360</v>
      </c>
      <c r="O30" t="str">
        <f t="shared" si="0"/>
        <v>Q3 2018</v>
      </c>
      <c r="P30" s="1">
        <f t="shared" si="1"/>
        <v>43282</v>
      </c>
      <c r="Q30" t="s">
        <v>111</v>
      </c>
    </row>
    <row r="31" spans="1:17">
      <c r="A31" t="s">
        <v>112</v>
      </c>
      <c r="B31">
        <v>1091980</v>
      </c>
      <c r="C31" t="s">
        <v>27</v>
      </c>
      <c r="D31">
        <v>0</v>
      </c>
      <c r="E31">
        <v>59</v>
      </c>
      <c r="F31" t="s">
        <v>92</v>
      </c>
      <c r="G31" s="1">
        <v>43704</v>
      </c>
      <c r="H31">
        <v>690</v>
      </c>
      <c r="I31" t="s">
        <v>113</v>
      </c>
      <c r="J31">
        <v>209</v>
      </c>
      <c r="K31">
        <v>6</v>
      </c>
      <c r="L31">
        <v>2618</v>
      </c>
      <c r="M31">
        <v>12</v>
      </c>
      <c r="N31">
        <v>4745</v>
      </c>
      <c r="O31" t="str">
        <f t="shared" si="0"/>
        <v>Q3 2019</v>
      </c>
      <c r="P31" s="1">
        <f t="shared" si="1"/>
        <v>43647</v>
      </c>
      <c r="Q31" t="s">
        <v>114</v>
      </c>
    </row>
    <row r="32" spans="1:17">
      <c r="A32" t="s">
        <v>115</v>
      </c>
      <c r="B32">
        <v>409720</v>
      </c>
      <c r="C32" t="s">
        <v>27</v>
      </c>
      <c r="D32">
        <v>0</v>
      </c>
      <c r="E32">
        <v>53</v>
      </c>
      <c r="F32" t="s">
        <v>92</v>
      </c>
      <c r="G32" s="1">
        <v>42628</v>
      </c>
      <c r="H32">
        <v>23838</v>
      </c>
      <c r="I32" t="s">
        <v>116</v>
      </c>
      <c r="J32">
        <v>26</v>
      </c>
      <c r="K32">
        <v>1800</v>
      </c>
      <c r="L32">
        <v>642</v>
      </c>
      <c r="M32">
        <v>361</v>
      </c>
      <c r="N32">
        <v>1526</v>
      </c>
      <c r="O32" t="str">
        <f t="shared" si="0"/>
        <v>Q3 2016</v>
      </c>
      <c r="P32" s="1">
        <f t="shared" si="1"/>
        <v>42552</v>
      </c>
      <c r="Q32" t="s">
        <v>117</v>
      </c>
    </row>
    <row r="33" spans="1:17">
      <c r="A33" t="s">
        <v>118</v>
      </c>
      <c r="B33">
        <v>743890</v>
      </c>
      <c r="C33" t="s">
        <v>27</v>
      </c>
      <c r="D33">
        <v>0</v>
      </c>
      <c r="E33">
        <v>52</v>
      </c>
      <c r="F33" t="s">
        <v>92</v>
      </c>
      <c r="G33" s="1">
        <v>43305</v>
      </c>
      <c r="H33">
        <v>3955</v>
      </c>
      <c r="I33" t="s">
        <v>119</v>
      </c>
      <c r="O33" t="str">
        <f t="shared" si="0"/>
        <v>Q3 2018</v>
      </c>
      <c r="P33" s="1">
        <f t="shared" si="1"/>
        <v>43282</v>
      </c>
      <c r="Q33" t="s">
        <v>120</v>
      </c>
    </row>
    <row r="34" spans="1:17">
      <c r="A34" t="s">
        <v>121</v>
      </c>
      <c r="B34">
        <v>388410</v>
      </c>
      <c r="C34" t="s">
        <v>27</v>
      </c>
      <c r="D34">
        <v>0</v>
      </c>
      <c r="E34">
        <v>50</v>
      </c>
      <c r="F34" t="s">
        <v>92</v>
      </c>
      <c r="G34" s="1">
        <v>42313</v>
      </c>
      <c r="H34">
        <v>16047</v>
      </c>
      <c r="I34" t="s">
        <v>66</v>
      </c>
      <c r="J34">
        <v>50</v>
      </c>
      <c r="K34">
        <v>254</v>
      </c>
      <c r="L34">
        <v>1185</v>
      </c>
      <c r="M34">
        <v>94</v>
      </c>
      <c r="N34">
        <v>3320</v>
      </c>
      <c r="O34" t="str">
        <f t="shared" si="0"/>
        <v>Q4 2015</v>
      </c>
      <c r="P34" s="1">
        <f t="shared" si="1"/>
        <v>42278</v>
      </c>
      <c r="Q34" t="s">
        <v>122</v>
      </c>
    </row>
    <row r="35" spans="1:17">
      <c r="A35" t="s">
        <v>123</v>
      </c>
      <c r="B35">
        <v>222480</v>
      </c>
      <c r="C35" t="s">
        <v>27</v>
      </c>
      <c r="D35">
        <v>0</v>
      </c>
      <c r="E35">
        <v>50</v>
      </c>
      <c r="F35" t="s">
        <v>92</v>
      </c>
      <c r="G35" s="1">
        <v>41414</v>
      </c>
      <c r="H35">
        <v>11407</v>
      </c>
      <c r="I35" t="s">
        <v>32</v>
      </c>
      <c r="J35">
        <v>177</v>
      </c>
      <c r="K35">
        <v>1300</v>
      </c>
      <c r="L35">
        <v>509</v>
      </c>
      <c r="M35">
        <v>61</v>
      </c>
      <c r="N35">
        <v>2463</v>
      </c>
      <c r="O35" t="str">
        <f t="shared" si="0"/>
        <v>Q2 2013</v>
      </c>
      <c r="P35" s="1">
        <f t="shared" si="1"/>
        <v>41365</v>
      </c>
      <c r="Q35" t="s">
        <v>124</v>
      </c>
    </row>
    <row r="36" spans="1:17">
      <c r="A36" t="s">
        <v>125</v>
      </c>
      <c r="B36">
        <v>339340</v>
      </c>
      <c r="C36" t="s">
        <v>27</v>
      </c>
      <c r="D36">
        <v>0</v>
      </c>
      <c r="E36">
        <v>47</v>
      </c>
      <c r="F36" t="s">
        <v>92</v>
      </c>
      <c r="G36" s="1">
        <v>42388</v>
      </c>
      <c r="H36">
        <v>13962</v>
      </c>
      <c r="I36" t="s">
        <v>126</v>
      </c>
      <c r="O36" t="str">
        <f t="shared" si="0"/>
        <v>Q1 2016</v>
      </c>
      <c r="P36" s="1">
        <f t="shared" si="1"/>
        <v>42370</v>
      </c>
      <c r="Q36" t="s">
        <v>127</v>
      </c>
    </row>
    <row r="37" spans="1:17">
      <c r="A37" t="s">
        <v>128</v>
      </c>
      <c r="B37">
        <v>287290</v>
      </c>
      <c r="C37" t="s">
        <v>27</v>
      </c>
      <c r="D37">
        <v>0</v>
      </c>
      <c r="E37">
        <v>43</v>
      </c>
      <c r="F37" t="s">
        <v>92</v>
      </c>
      <c r="G37" s="1">
        <v>42059</v>
      </c>
      <c r="H37">
        <v>25146</v>
      </c>
      <c r="I37" t="s">
        <v>126</v>
      </c>
      <c r="J37">
        <v>178</v>
      </c>
      <c r="K37">
        <v>602</v>
      </c>
      <c r="L37">
        <v>629</v>
      </c>
      <c r="M37">
        <v>38</v>
      </c>
      <c r="N37">
        <v>2223</v>
      </c>
      <c r="O37" t="str">
        <f t="shared" si="0"/>
        <v>Q1 2015</v>
      </c>
      <c r="P37" s="1">
        <f t="shared" si="1"/>
        <v>42005</v>
      </c>
      <c r="Q37" t="s">
        <v>129</v>
      </c>
    </row>
    <row r="38" spans="1:17">
      <c r="A38" t="s">
        <v>130</v>
      </c>
      <c r="B38">
        <v>268870</v>
      </c>
      <c r="C38" t="s">
        <v>27</v>
      </c>
      <c r="D38">
        <v>0</v>
      </c>
      <c r="E38">
        <v>40</v>
      </c>
      <c r="F38" t="s">
        <v>92</v>
      </c>
      <c r="G38" s="1">
        <v>42244</v>
      </c>
      <c r="H38">
        <v>2598</v>
      </c>
      <c r="I38" t="s">
        <v>131</v>
      </c>
      <c r="J38">
        <v>187</v>
      </c>
      <c r="K38">
        <v>18</v>
      </c>
      <c r="L38">
        <v>1293</v>
      </c>
      <c r="M38">
        <v>7</v>
      </c>
      <c r="N38">
        <v>2353</v>
      </c>
      <c r="O38" t="str">
        <f t="shared" si="0"/>
        <v>Q3 2015</v>
      </c>
      <c r="P38" s="1">
        <f t="shared" si="1"/>
        <v>42186</v>
      </c>
      <c r="Q38" t="s">
        <v>132</v>
      </c>
    </row>
    <row r="39" spans="1:17">
      <c r="A39" t="s">
        <v>133</v>
      </c>
      <c r="B39">
        <v>400180</v>
      </c>
      <c r="C39" t="s">
        <v>27</v>
      </c>
      <c r="D39">
        <v>0</v>
      </c>
      <c r="E39">
        <v>38</v>
      </c>
      <c r="F39" t="s">
        <v>92</v>
      </c>
      <c r="G39" s="1">
        <v>42600</v>
      </c>
      <c r="H39">
        <v>631</v>
      </c>
      <c r="I39" t="s">
        <v>47</v>
      </c>
      <c r="J39">
        <v>155</v>
      </c>
      <c r="K39">
        <v>7</v>
      </c>
      <c r="L39">
        <v>287</v>
      </c>
      <c r="O39" t="str">
        <f t="shared" si="0"/>
        <v>Q3 2016</v>
      </c>
      <c r="P39" s="1">
        <f t="shared" si="1"/>
        <v>42552</v>
      </c>
      <c r="Q39" t="s">
        <v>134</v>
      </c>
    </row>
    <row r="40" spans="1:17">
      <c r="A40" t="s">
        <v>135</v>
      </c>
      <c r="B40">
        <v>401710</v>
      </c>
      <c r="C40" t="s">
        <v>27</v>
      </c>
      <c r="D40">
        <v>0</v>
      </c>
      <c r="E40">
        <v>37</v>
      </c>
      <c r="F40" t="s">
        <v>92</v>
      </c>
      <c r="G40" s="1">
        <v>42843</v>
      </c>
      <c r="H40">
        <v>597</v>
      </c>
      <c r="I40" t="s">
        <v>136</v>
      </c>
      <c r="J40">
        <v>92</v>
      </c>
      <c r="K40">
        <v>5</v>
      </c>
      <c r="L40">
        <v>1102</v>
      </c>
      <c r="M40">
        <v>2</v>
      </c>
      <c r="N40">
        <v>3289</v>
      </c>
      <c r="O40" t="str">
        <f t="shared" si="0"/>
        <v>Q2 2017</v>
      </c>
      <c r="P40" s="1">
        <f t="shared" si="1"/>
        <v>42826</v>
      </c>
      <c r="Q40" t="s">
        <v>137</v>
      </c>
    </row>
    <row r="41" spans="1:17">
      <c r="A41" t="s">
        <v>138</v>
      </c>
      <c r="B41">
        <v>1456200</v>
      </c>
      <c r="C41" t="s">
        <v>27</v>
      </c>
      <c r="D41">
        <v>0</v>
      </c>
      <c r="E41">
        <v>36</v>
      </c>
      <c r="F41" t="s">
        <v>92</v>
      </c>
      <c r="G41" s="1">
        <v>45015</v>
      </c>
      <c r="H41">
        <v>3208</v>
      </c>
      <c r="I41" t="s">
        <v>139</v>
      </c>
      <c r="J41">
        <v>119</v>
      </c>
      <c r="O41" t="str">
        <f t="shared" si="0"/>
        <v>Q1 2023</v>
      </c>
      <c r="P41" s="1">
        <f t="shared" si="1"/>
        <v>44927</v>
      </c>
      <c r="Q41" t="s">
        <v>140</v>
      </c>
    </row>
    <row r="42" spans="1:17">
      <c r="A42" t="s">
        <v>141</v>
      </c>
      <c r="B42">
        <v>3837340</v>
      </c>
      <c r="C42" t="s">
        <v>27</v>
      </c>
      <c r="D42">
        <v>0</v>
      </c>
      <c r="E42">
        <v>31</v>
      </c>
      <c r="F42" t="s">
        <v>92</v>
      </c>
      <c r="G42" s="1">
        <v>41479</v>
      </c>
      <c r="H42">
        <v>1171</v>
      </c>
      <c r="I42" t="s">
        <v>142</v>
      </c>
      <c r="J42">
        <v>91</v>
      </c>
      <c r="K42">
        <v>1500</v>
      </c>
      <c r="L42">
        <v>2206</v>
      </c>
      <c r="M42">
        <v>761</v>
      </c>
      <c r="N42">
        <v>4918</v>
      </c>
      <c r="O42" t="str">
        <f t="shared" si="0"/>
        <v>Q3 2013</v>
      </c>
      <c r="P42" s="1">
        <f t="shared" si="1"/>
        <v>41456</v>
      </c>
      <c r="Q42" t="s">
        <v>143</v>
      </c>
    </row>
    <row r="43" spans="1:17">
      <c r="A43" t="s">
        <v>144</v>
      </c>
      <c r="B43">
        <v>699920</v>
      </c>
      <c r="C43" t="s">
        <v>27</v>
      </c>
      <c r="D43">
        <v>0</v>
      </c>
      <c r="E43">
        <v>30</v>
      </c>
      <c r="F43" t="s">
        <v>92</v>
      </c>
      <c r="G43" s="1">
        <v>43412</v>
      </c>
      <c r="H43">
        <v>1017</v>
      </c>
      <c r="I43" t="s">
        <v>145</v>
      </c>
      <c r="J43">
        <v>58</v>
      </c>
      <c r="K43">
        <v>14</v>
      </c>
      <c r="L43">
        <v>217</v>
      </c>
      <c r="M43">
        <v>3</v>
      </c>
      <c r="N43">
        <v>3674</v>
      </c>
      <c r="O43" t="str">
        <f t="shared" si="0"/>
        <v>Q4 2018</v>
      </c>
      <c r="P43" s="1">
        <f t="shared" si="1"/>
        <v>43374</v>
      </c>
      <c r="Q43" t="s">
        <v>146</v>
      </c>
    </row>
    <row r="44" spans="1:17">
      <c r="A44" t="s">
        <v>147</v>
      </c>
      <c r="B44">
        <v>327860</v>
      </c>
      <c r="C44" t="s">
        <v>27</v>
      </c>
      <c r="D44">
        <v>0</v>
      </c>
      <c r="E44">
        <v>29</v>
      </c>
      <c r="F44" t="s">
        <v>92</v>
      </c>
      <c r="G44" s="1">
        <v>43137</v>
      </c>
      <c r="H44">
        <v>1954</v>
      </c>
      <c r="I44" t="s">
        <v>148</v>
      </c>
      <c r="J44">
        <v>186</v>
      </c>
      <c r="O44" t="str">
        <f t="shared" si="0"/>
        <v>Q1 2018</v>
      </c>
      <c r="P44" s="1">
        <f t="shared" si="1"/>
        <v>43101</v>
      </c>
      <c r="Q44" t="s">
        <v>149</v>
      </c>
    </row>
    <row r="45" spans="1:17">
      <c r="A45" t="s">
        <v>150</v>
      </c>
      <c r="B45">
        <v>671440</v>
      </c>
      <c r="C45" t="s">
        <v>27</v>
      </c>
      <c r="D45">
        <v>0</v>
      </c>
      <c r="E45">
        <v>27</v>
      </c>
      <c r="F45" t="s">
        <v>92</v>
      </c>
      <c r="G45" s="1">
        <v>43587</v>
      </c>
      <c r="H45">
        <v>3114</v>
      </c>
      <c r="I45" t="s">
        <v>55</v>
      </c>
      <c r="J45">
        <v>180</v>
      </c>
      <c r="K45">
        <v>10</v>
      </c>
      <c r="L45">
        <v>1203</v>
      </c>
      <c r="M45">
        <v>4</v>
      </c>
      <c r="N45">
        <v>3480</v>
      </c>
      <c r="O45" t="str">
        <f t="shared" si="0"/>
        <v>Q2 2019</v>
      </c>
      <c r="P45" s="1">
        <f t="shared" si="1"/>
        <v>43556</v>
      </c>
      <c r="Q45" t="s">
        <v>151</v>
      </c>
    </row>
    <row r="46" spans="1:17">
      <c r="A46" t="s">
        <v>152</v>
      </c>
      <c r="B46">
        <v>270050</v>
      </c>
      <c r="C46" t="s">
        <v>27</v>
      </c>
      <c r="D46">
        <v>0</v>
      </c>
      <c r="E46">
        <v>25</v>
      </c>
      <c r="F46" t="s">
        <v>92</v>
      </c>
      <c r="G46" s="1">
        <v>41723</v>
      </c>
      <c r="H46">
        <v>478</v>
      </c>
      <c r="I46" t="s">
        <v>153</v>
      </c>
      <c r="J46">
        <v>171</v>
      </c>
      <c r="K46">
        <v>11</v>
      </c>
      <c r="L46">
        <v>149</v>
      </c>
      <c r="M46">
        <v>2</v>
      </c>
      <c r="N46">
        <v>2394</v>
      </c>
      <c r="O46" t="str">
        <f t="shared" si="0"/>
        <v>Q1 2014</v>
      </c>
      <c r="P46" s="1">
        <f t="shared" si="1"/>
        <v>41640</v>
      </c>
      <c r="Q46" t="s">
        <v>154</v>
      </c>
    </row>
    <row r="47" spans="1:17">
      <c r="A47" t="s">
        <v>155</v>
      </c>
      <c r="B47">
        <v>456780</v>
      </c>
      <c r="C47" t="s">
        <v>27</v>
      </c>
      <c r="D47">
        <v>0</v>
      </c>
      <c r="E47">
        <v>22</v>
      </c>
      <c r="F47" t="s">
        <v>92</v>
      </c>
      <c r="G47" s="1">
        <v>42530</v>
      </c>
      <c r="H47">
        <v>207</v>
      </c>
      <c r="I47" t="s">
        <v>156</v>
      </c>
      <c r="J47">
        <v>75</v>
      </c>
      <c r="K47">
        <v>6</v>
      </c>
      <c r="L47">
        <v>633</v>
      </c>
      <c r="M47">
        <v>3</v>
      </c>
      <c r="N47">
        <v>1092</v>
      </c>
      <c r="O47" t="str">
        <f t="shared" si="0"/>
        <v>Q2 2016</v>
      </c>
      <c r="P47" s="1">
        <f t="shared" si="1"/>
        <v>42461</v>
      </c>
      <c r="Q47" t="s">
        <v>157</v>
      </c>
    </row>
    <row r="48" spans="1:17">
      <c r="A48" t="s">
        <v>158</v>
      </c>
      <c r="B48">
        <v>1238810</v>
      </c>
      <c r="C48" t="s">
        <v>27</v>
      </c>
      <c r="D48">
        <v>0</v>
      </c>
      <c r="E48">
        <v>21</v>
      </c>
      <c r="F48" t="s">
        <v>92</v>
      </c>
      <c r="G48" s="1">
        <v>43413</v>
      </c>
      <c r="H48">
        <v>234797</v>
      </c>
      <c r="I48" t="s">
        <v>159</v>
      </c>
      <c r="J48">
        <v>22</v>
      </c>
      <c r="K48">
        <v>583</v>
      </c>
      <c r="L48">
        <v>390</v>
      </c>
      <c r="M48">
        <v>40</v>
      </c>
      <c r="N48">
        <v>2362</v>
      </c>
      <c r="O48" t="str">
        <f t="shared" si="0"/>
        <v>Q4 2018</v>
      </c>
      <c r="P48" s="1">
        <f t="shared" si="1"/>
        <v>43374</v>
      </c>
      <c r="Q48" t="s">
        <v>160</v>
      </c>
    </row>
    <row r="49" spans="1:17">
      <c r="A49" t="s">
        <v>161</v>
      </c>
      <c r="B49">
        <v>441380</v>
      </c>
      <c r="C49" t="s">
        <v>27</v>
      </c>
      <c r="D49">
        <v>0</v>
      </c>
      <c r="E49">
        <v>18</v>
      </c>
      <c r="F49" t="s">
        <v>92</v>
      </c>
      <c r="G49" s="1">
        <v>42626</v>
      </c>
      <c r="H49">
        <v>564</v>
      </c>
      <c r="I49" t="s">
        <v>162</v>
      </c>
      <c r="J49">
        <v>161</v>
      </c>
      <c r="K49">
        <v>25</v>
      </c>
      <c r="L49">
        <v>287</v>
      </c>
      <c r="M49">
        <v>9</v>
      </c>
      <c r="N49">
        <v>1024</v>
      </c>
      <c r="O49" t="str">
        <f t="shared" si="0"/>
        <v>Q3 2016</v>
      </c>
      <c r="P49" s="1">
        <f t="shared" si="1"/>
        <v>42552</v>
      </c>
      <c r="Q49" t="s">
        <v>163</v>
      </c>
    </row>
    <row r="50" spans="1:17">
      <c r="A50" t="s">
        <v>164</v>
      </c>
      <c r="B50">
        <v>312840</v>
      </c>
      <c r="C50" t="s">
        <v>27</v>
      </c>
      <c r="D50">
        <v>0</v>
      </c>
      <c r="E50">
        <v>17</v>
      </c>
      <c r="F50" t="s">
        <v>92</v>
      </c>
      <c r="G50" s="1">
        <v>42032</v>
      </c>
      <c r="H50">
        <v>6473</v>
      </c>
      <c r="I50" t="s">
        <v>165</v>
      </c>
      <c r="O50" t="str">
        <f t="shared" si="0"/>
        <v>Q1 2015</v>
      </c>
      <c r="P50" s="1">
        <f t="shared" si="1"/>
        <v>42005</v>
      </c>
      <c r="Q50" t="s">
        <v>166</v>
      </c>
    </row>
    <row r="51" spans="1:17">
      <c r="A51" t="s">
        <v>167</v>
      </c>
      <c r="B51">
        <v>812160</v>
      </c>
      <c r="C51" t="s">
        <v>27</v>
      </c>
      <c r="D51">
        <v>0</v>
      </c>
      <c r="E51">
        <v>13</v>
      </c>
      <c r="F51" t="s">
        <v>92</v>
      </c>
      <c r="G51" s="1">
        <v>43664</v>
      </c>
      <c r="H51">
        <v>100</v>
      </c>
      <c r="I51" t="s">
        <v>168</v>
      </c>
      <c r="J51">
        <v>80</v>
      </c>
      <c r="K51">
        <v>89</v>
      </c>
      <c r="L51">
        <v>138</v>
      </c>
      <c r="M51">
        <v>43</v>
      </c>
      <c r="N51">
        <v>250</v>
      </c>
      <c r="O51" t="str">
        <f t="shared" si="0"/>
        <v>Q3 2019</v>
      </c>
      <c r="P51" s="1">
        <f t="shared" si="1"/>
        <v>43647</v>
      </c>
      <c r="Q51" t="s">
        <v>169</v>
      </c>
    </row>
    <row r="52" spans="1:17">
      <c r="A52" t="s">
        <v>170</v>
      </c>
      <c r="B52">
        <v>329380</v>
      </c>
      <c r="C52" t="s">
        <v>27</v>
      </c>
      <c r="D52">
        <v>0</v>
      </c>
      <c r="E52">
        <v>12</v>
      </c>
      <c r="F52" t="s">
        <v>92</v>
      </c>
      <c r="G52" s="1">
        <v>42124</v>
      </c>
      <c r="H52">
        <v>122</v>
      </c>
      <c r="I52" t="s">
        <v>171</v>
      </c>
      <c r="O52" t="str">
        <f t="shared" si="0"/>
        <v>Q2 2015</v>
      </c>
      <c r="P52" s="1">
        <f t="shared" si="1"/>
        <v>42095</v>
      </c>
      <c r="Q52" t="s">
        <v>172</v>
      </c>
    </row>
    <row r="53" spans="1:17">
      <c r="A53" t="s">
        <v>173</v>
      </c>
      <c r="B53">
        <v>443810</v>
      </c>
      <c r="C53" t="s">
        <v>27</v>
      </c>
      <c r="D53">
        <v>0</v>
      </c>
      <c r="E53">
        <v>10</v>
      </c>
      <c r="F53" t="s">
        <v>92</v>
      </c>
      <c r="G53" s="1">
        <v>42584</v>
      </c>
      <c r="H53">
        <v>9083</v>
      </c>
      <c r="I53" t="s">
        <v>66</v>
      </c>
      <c r="J53">
        <v>224</v>
      </c>
      <c r="K53">
        <v>94</v>
      </c>
      <c r="L53">
        <v>1192</v>
      </c>
      <c r="M53">
        <v>25</v>
      </c>
      <c r="N53">
        <v>2088</v>
      </c>
      <c r="O53" t="str">
        <f t="shared" si="0"/>
        <v>Q3 2016</v>
      </c>
      <c r="P53" s="1">
        <f t="shared" si="1"/>
        <v>42552</v>
      </c>
      <c r="Q53" t="s">
        <v>174</v>
      </c>
    </row>
    <row r="54" spans="1:17">
      <c r="A54" t="s">
        <v>175</v>
      </c>
      <c r="B54">
        <v>274230</v>
      </c>
      <c r="C54" t="s">
        <v>27</v>
      </c>
      <c r="D54">
        <v>0</v>
      </c>
      <c r="E54">
        <v>8</v>
      </c>
      <c r="F54" t="s">
        <v>92</v>
      </c>
      <c r="G54" s="1">
        <v>42185</v>
      </c>
      <c r="H54">
        <v>1599</v>
      </c>
      <c r="I54" t="s">
        <v>47</v>
      </c>
      <c r="J54">
        <v>182</v>
      </c>
      <c r="K54">
        <v>25</v>
      </c>
      <c r="L54">
        <v>359</v>
      </c>
      <c r="M54">
        <v>21</v>
      </c>
      <c r="N54">
        <v>726</v>
      </c>
      <c r="O54" t="str">
        <f t="shared" si="0"/>
        <v>Q2 2015</v>
      </c>
      <c r="P54" s="1">
        <f t="shared" si="1"/>
        <v>42095</v>
      </c>
      <c r="Q54" t="s">
        <v>176</v>
      </c>
    </row>
    <row r="55" spans="1:17">
      <c r="A55" t="s">
        <v>177</v>
      </c>
      <c r="B55">
        <v>727760</v>
      </c>
      <c r="C55" t="s">
        <v>27</v>
      </c>
      <c r="D55">
        <v>0</v>
      </c>
      <c r="E55">
        <v>8</v>
      </c>
      <c r="F55" t="s">
        <v>92</v>
      </c>
      <c r="G55" s="1">
        <v>43187</v>
      </c>
      <c r="H55">
        <v>165</v>
      </c>
      <c r="I55" t="s">
        <v>47</v>
      </c>
      <c r="J55">
        <v>230</v>
      </c>
      <c r="K55">
        <v>3</v>
      </c>
      <c r="L55">
        <v>359</v>
      </c>
      <c r="M55">
        <v>8</v>
      </c>
      <c r="N55">
        <v>310</v>
      </c>
      <c r="O55" t="str">
        <f t="shared" si="0"/>
        <v>Q1 2018</v>
      </c>
      <c r="P55" s="1">
        <f t="shared" si="1"/>
        <v>43101</v>
      </c>
      <c r="Q55" t="s">
        <v>178</v>
      </c>
    </row>
    <row r="56" spans="1:17">
      <c r="A56" t="s">
        <v>179</v>
      </c>
      <c r="B56">
        <v>578720</v>
      </c>
      <c r="C56" t="s">
        <v>27</v>
      </c>
      <c r="D56">
        <v>0</v>
      </c>
      <c r="E56">
        <v>3</v>
      </c>
      <c r="F56" t="s">
        <v>92</v>
      </c>
      <c r="G56" s="1">
        <v>43026</v>
      </c>
      <c r="H56">
        <v>762</v>
      </c>
      <c r="I56" t="s">
        <v>180</v>
      </c>
      <c r="J56">
        <v>6</v>
      </c>
      <c r="K56">
        <v>104</v>
      </c>
      <c r="L56">
        <v>57</v>
      </c>
      <c r="M56">
        <v>152</v>
      </c>
      <c r="N56">
        <v>78</v>
      </c>
      <c r="O56" t="str">
        <f t="shared" si="0"/>
        <v>Q4 2017</v>
      </c>
      <c r="P56" s="1">
        <f t="shared" si="1"/>
        <v>43009</v>
      </c>
      <c r="Q56" t="s">
        <v>181</v>
      </c>
    </row>
    <row r="57" spans="1:17">
      <c r="A57" t="s">
        <v>182</v>
      </c>
      <c r="B57">
        <v>407530</v>
      </c>
      <c r="C57" t="s">
        <v>72</v>
      </c>
      <c r="F57" t="s">
        <v>92</v>
      </c>
      <c r="G57" s="1">
        <v>42976</v>
      </c>
      <c r="H57">
        <v>4618</v>
      </c>
      <c r="I57" t="s">
        <v>183</v>
      </c>
      <c r="J57">
        <v>17</v>
      </c>
      <c r="O57" t="str">
        <f t="shared" si="0"/>
        <v>Q3 2017</v>
      </c>
      <c r="P57" s="1">
        <f t="shared" si="1"/>
        <v>42917</v>
      </c>
      <c r="Q57" t="s">
        <v>184</v>
      </c>
    </row>
    <row r="58" spans="1:17">
      <c r="A58" t="s">
        <v>185</v>
      </c>
      <c r="B58">
        <v>582660</v>
      </c>
      <c r="C58" t="s">
        <v>72</v>
      </c>
      <c r="F58" t="s">
        <v>92</v>
      </c>
      <c r="G58" s="1">
        <v>42879</v>
      </c>
      <c r="H58">
        <v>62477</v>
      </c>
      <c r="I58" t="s">
        <v>186</v>
      </c>
      <c r="J58">
        <v>29</v>
      </c>
      <c r="K58">
        <v>18</v>
      </c>
      <c r="L58">
        <v>5533</v>
      </c>
      <c r="M58">
        <v>9</v>
      </c>
      <c r="N58">
        <v>138517</v>
      </c>
      <c r="O58" t="str">
        <f t="shared" si="0"/>
        <v>Q2 2017</v>
      </c>
      <c r="P58" s="1">
        <f t="shared" si="1"/>
        <v>42826</v>
      </c>
      <c r="Q58" t="s">
        <v>187</v>
      </c>
    </row>
    <row r="59" spans="1:17">
      <c r="A59" t="s">
        <v>188</v>
      </c>
      <c r="B59">
        <v>920490</v>
      </c>
      <c r="C59" t="s">
        <v>72</v>
      </c>
      <c r="F59" t="s">
        <v>92</v>
      </c>
      <c r="G59" s="1">
        <v>43405</v>
      </c>
      <c r="H59">
        <v>10571</v>
      </c>
      <c r="I59" t="s">
        <v>189</v>
      </c>
      <c r="O59" t="str">
        <f t="shared" si="0"/>
        <v>Q4 2018</v>
      </c>
      <c r="P59" s="1">
        <f t="shared" si="1"/>
        <v>43374</v>
      </c>
      <c r="Q59" t="s">
        <v>190</v>
      </c>
    </row>
    <row r="60" spans="1:17">
      <c r="A60" t="s">
        <v>191</v>
      </c>
      <c r="B60">
        <v>38420</v>
      </c>
      <c r="C60" t="s">
        <v>72</v>
      </c>
      <c r="F60" t="s">
        <v>92</v>
      </c>
      <c r="G60" s="1">
        <v>36951</v>
      </c>
      <c r="H60">
        <v>2321</v>
      </c>
      <c r="I60" t="s">
        <v>101</v>
      </c>
      <c r="J60">
        <v>87</v>
      </c>
      <c r="K60">
        <v>18</v>
      </c>
      <c r="L60">
        <v>1638</v>
      </c>
      <c r="M60">
        <v>19</v>
      </c>
      <c r="N60">
        <v>2907</v>
      </c>
      <c r="O60" t="str">
        <f t="shared" si="0"/>
        <v>Q1 2001</v>
      </c>
      <c r="P60" s="1">
        <f t="shared" si="1"/>
        <v>36892</v>
      </c>
      <c r="Q60" t="s">
        <v>192</v>
      </c>
    </row>
    <row r="61" spans="1:17">
      <c r="A61" t="s">
        <v>193</v>
      </c>
      <c r="B61">
        <v>360</v>
      </c>
      <c r="C61" t="s">
        <v>72</v>
      </c>
      <c r="F61" t="s">
        <v>92</v>
      </c>
      <c r="G61" s="1">
        <v>38838</v>
      </c>
      <c r="H61">
        <v>4313</v>
      </c>
      <c r="I61" t="s">
        <v>194</v>
      </c>
      <c r="J61">
        <v>108</v>
      </c>
      <c r="O61" t="str">
        <f t="shared" si="0"/>
        <v>Q2 2006</v>
      </c>
      <c r="P61" s="1">
        <f t="shared" si="1"/>
        <v>38808</v>
      </c>
      <c r="Q61" t="s">
        <v>195</v>
      </c>
    </row>
    <row r="62" spans="1:17">
      <c r="A62" t="s">
        <v>196</v>
      </c>
      <c r="B62">
        <v>407980</v>
      </c>
      <c r="C62" t="s">
        <v>72</v>
      </c>
      <c r="F62" t="s">
        <v>92</v>
      </c>
      <c r="G62" s="1">
        <v>42314</v>
      </c>
      <c r="H62">
        <v>252</v>
      </c>
      <c r="I62" t="s">
        <v>197</v>
      </c>
      <c r="J62">
        <v>184</v>
      </c>
      <c r="K62">
        <v>18</v>
      </c>
      <c r="L62">
        <v>135</v>
      </c>
      <c r="M62">
        <v>24</v>
      </c>
      <c r="N62">
        <v>200</v>
      </c>
      <c r="O62" t="str">
        <f t="shared" si="0"/>
        <v>Q4 2015</v>
      </c>
      <c r="P62" s="1">
        <f t="shared" si="1"/>
        <v>42278</v>
      </c>
      <c r="Q62" t="s">
        <v>198</v>
      </c>
    </row>
    <row r="63" spans="1:17">
      <c r="A63" t="s">
        <v>199</v>
      </c>
      <c r="B63">
        <v>828900</v>
      </c>
      <c r="C63" t="s">
        <v>72</v>
      </c>
      <c r="F63" t="s">
        <v>92</v>
      </c>
      <c r="G63" s="1">
        <v>43503</v>
      </c>
      <c r="H63">
        <v>1351</v>
      </c>
      <c r="I63" t="s">
        <v>200</v>
      </c>
      <c r="J63">
        <v>217</v>
      </c>
      <c r="K63">
        <v>52</v>
      </c>
      <c r="L63">
        <v>194</v>
      </c>
      <c r="M63">
        <v>12</v>
      </c>
      <c r="N63">
        <v>230</v>
      </c>
      <c r="O63" t="str">
        <f t="shared" si="0"/>
        <v>Q1 2019</v>
      </c>
      <c r="P63" s="1">
        <f t="shared" si="1"/>
        <v>43466</v>
      </c>
      <c r="Q63" t="s">
        <v>201</v>
      </c>
    </row>
    <row r="64" spans="1:17">
      <c r="A64" t="s">
        <v>202</v>
      </c>
      <c r="B64">
        <v>438100</v>
      </c>
      <c r="C64" t="s">
        <v>72</v>
      </c>
      <c r="F64" t="s">
        <v>92</v>
      </c>
      <c r="G64" s="1">
        <v>42767</v>
      </c>
      <c r="H64">
        <v>265324</v>
      </c>
      <c r="I64" t="s">
        <v>203</v>
      </c>
      <c r="O64" t="str">
        <f t="shared" si="0"/>
        <v>Q1 2017</v>
      </c>
      <c r="P64" s="1">
        <f t="shared" si="1"/>
        <v>42736</v>
      </c>
      <c r="Q64" t="s">
        <v>204</v>
      </c>
    </row>
    <row r="65" spans="1:17">
      <c r="A65" t="s">
        <v>205</v>
      </c>
      <c r="B65">
        <v>632360</v>
      </c>
      <c r="C65" t="s">
        <v>27</v>
      </c>
      <c r="D65">
        <v>0</v>
      </c>
      <c r="E65">
        <v>171</v>
      </c>
      <c r="F65" t="s">
        <v>206</v>
      </c>
      <c r="G65" s="1">
        <v>44054</v>
      </c>
      <c r="H65">
        <v>238141</v>
      </c>
      <c r="I65" t="s">
        <v>207</v>
      </c>
      <c r="J65">
        <v>181</v>
      </c>
      <c r="K65">
        <v>280</v>
      </c>
      <c r="L65">
        <v>691</v>
      </c>
      <c r="M65">
        <v>160</v>
      </c>
      <c r="N65">
        <v>9587</v>
      </c>
      <c r="O65" t="str">
        <f t="shared" si="0"/>
        <v>Q3 2020</v>
      </c>
      <c r="P65" s="1">
        <f t="shared" si="1"/>
        <v>44013</v>
      </c>
      <c r="Q65" t="s">
        <v>208</v>
      </c>
    </row>
    <row r="66" spans="1:17">
      <c r="A66" t="s">
        <v>209</v>
      </c>
      <c r="B66">
        <v>960090</v>
      </c>
      <c r="C66" t="s">
        <v>27</v>
      </c>
      <c r="D66">
        <v>46</v>
      </c>
      <c r="E66">
        <v>156</v>
      </c>
      <c r="F66" t="s">
        <v>206</v>
      </c>
      <c r="G66" s="1">
        <v>43451</v>
      </c>
      <c r="H66">
        <v>345728</v>
      </c>
      <c r="I66" t="s">
        <v>210</v>
      </c>
      <c r="J66">
        <v>30</v>
      </c>
      <c r="K66">
        <v>56</v>
      </c>
      <c r="L66">
        <v>2270</v>
      </c>
      <c r="M66">
        <v>23</v>
      </c>
      <c r="N66">
        <v>35862</v>
      </c>
      <c r="O66" t="str">
        <f t="shared" ref="O66:O129" si="2">"Q"&amp;ROUNDUP(MONTH(G66)/3,0)&amp;" "&amp;YEAR(G66)</f>
        <v>Q4 2018</v>
      </c>
      <c r="P66" s="1">
        <f t="shared" ref="P66:P129" si="3">DATE(YEAR(G66),3*ROUNDUP(MONTH(G66)/3,0)-2,1)</f>
        <v>43374</v>
      </c>
      <c r="Q66" t="s">
        <v>211</v>
      </c>
    </row>
    <row r="67" spans="1:17">
      <c r="A67" t="s">
        <v>212</v>
      </c>
      <c r="B67">
        <v>105600</v>
      </c>
      <c r="C67" t="s">
        <v>27</v>
      </c>
      <c r="D67">
        <v>114</v>
      </c>
      <c r="E67">
        <v>137</v>
      </c>
      <c r="F67" t="s">
        <v>206</v>
      </c>
      <c r="G67" s="1">
        <v>40679</v>
      </c>
      <c r="H67">
        <v>1224771</v>
      </c>
      <c r="I67" t="s">
        <v>213</v>
      </c>
      <c r="J67">
        <v>208</v>
      </c>
      <c r="K67">
        <v>702</v>
      </c>
      <c r="L67">
        <v>3209</v>
      </c>
      <c r="M67">
        <v>675</v>
      </c>
      <c r="N67">
        <v>13916</v>
      </c>
      <c r="O67" t="str">
        <f t="shared" si="2"/>
        <v>Q2 2011</v>
      </c>
      <c r="P67" s="1">
        <f t="shared" si="3"/>
        <v>40634</v>
      </c>
      <c r="Q67" t="s">
        <v>214</v>
      </c>
    </row>
    <row r="68" spans="1:17">
      <c r="A68" t="s">
        <v>215</v>
      </c>
      <c r="B68">
        <v>550</v>
      </c>
      <c r="C68" t="s">
        <v>27</v>
      </c>
      <c r="D68">
        <v>5</v>
      </c>
      <c r="E68">
        <v>101</v>
      </c>
      <c r="F68" t="s">
        <v>206</v>
      </c>
      <c r="G68" s="1">
        <v>40136</v>
      </c>
      <c r="H68">
        <v>804948</v>
      </c>
      <c r="I68" t="s">
        <v>194</v>
      </c>
      <c r="J68">
        <v>127</v>
      </c>
      <c r="K68">
        <v>600</v>
      </c>
      <c r="L68">
        <v>631</v>
      </c>
      <c r="M68">
        <v>79</v>
      </c>
      <c r="N68">
        <v>4353</v>
      </c>
      <c r="O68" t="str">
        <f t="shared" si="2"/>
        <v>Q4 2009</v>
      </c>
      <c r="P68" s="1">
        <f t="shared" si="3"/>
        <v>40087</v>
      </c>
      <c r="Q68" t="s">
        <v>216</v>
      </c>
    </row>
    <row r="69" spans="1:17">
      <c r="A69" t="s">
        <v>217</v>
      </c>
      <c r="B69">
        <v>205100</v>
      </c>
      <c r="C69" t="s">
        <v>27</v>
      </c>
      <c r="D69">
        <v>0</v>
      </c>
      <c r="E69">
        <v>80</v>
      </c>
      <c r="F69" t="s">
        <v>206</v>
      </c>
      <c r="G69" s="1">
        <v>41193</v>
      </c>
      <c r="H69">
        <v>66262</v>
      </c>
      <c r="I69" t="s">
        <v>101</v>
      </c>
      <c r="J69">
        <v>68</v>
      </c>
      <c r="K69">
        <v>2300</v>
      </c>
      <c r="L69">
        <v>737</v>
      </c>
      <c r="M69">
        <v>421</v>
      </c>
      <c r="N69">
        <v>2427</v>
      </c>
      <c r="O69" t="str">
        <f t="shared" si="2"/>
        <v>Q4 2012</v>
      </c>
      <c r="P69" s="1">
        <f t="shared" si="3"/>
        <v>41183</v>
      </c>
      <c r="Q69" t="s">
        <v>218</v>
      </c>
    </row>
    <row r="70" spans="1:17">
      <c r="A70" t="s">
        <v>219</v>
      </c>
      <c r="B70">
        <v>292030</v>
      </c>
      <c r="C70" t="s">
        <v>27</v>
      </c>
      <c r="D70">
        <v>0</v>
      </c>
      <c r="E70">
        <v>78</v>
      </c>
      <c r="F70" t="s">
        <v>206</v>
      </c>
      <c r="G70" s="1">
        <v>42142</v>
      </c>
      <c r="H70">
        <v>812992</v>
      </c>
      <c r="I70" t="s">
        <v>220</v>
      </c>
      <c r="J70">
        <v>220</v>
      </c>
      <c r="K70">
        <v>2700</v>
      </c>
      <c r="L70">
        <v>3195</v>
      </c>
      <c r="M70">
        <v>2400</v>
      </c>
      <c r="N70">
        <v>10829</v>
      </c>
      <c r="O70" t="str">
        <f t="shared" si="2"/>
        <v>Q2 2015</v>
      </c>
      <c r="P70" s="1">
        <f t="shared" si="3"/>
        <v>42095</v>
      </c>
      <c r="Q70" t="s">
        <v>221</v>
      </c>
    </row>
    <row r="71" spans="1:17">
      <c r="A71" t="s">
        <v>222</v>
      </c>
      <c r="B71">
        <v>22380</v>
      </c>
      <c r="C71" t="s">
        <v>27</v>
      </c>
      <c r="D71">
        <v>41</v>
      </c>
      <c r="E71">
        <v>75</v>
      </c>
      <c r="F71" t="s">
        <v>206</v>
      </c>
      <c r="G71" s="1">
        <v>40472</v>
      </c>
      <c r="H71">
        <v>209520</v>
      </c>
      <c r="I71" t="s">
        <v>101</v>
      </c>
      <c r="J71">
        <v>88</v>
      </c>
      <c r="K71">
        <v>858</v>
      </c>
      <c r="L71">
        <v>1643</v>
      </c>
      <c r="M71">
        <v>482</v>
      </c>
      <c r="N71">
        <v>8193</v>
      </c>
      <c r="O71" t="str">
        <f t="shared" si="2"/>
        <v>Q4 2010</v>
      </c>
      <c r="P71" s="1">
        <f t="shared" si="3"/>
        <v>40452</v>
      </c>
      <c r="Q71" t="s">
        <v>223</v>
      </c>
    </row>
    <row r="72" spans="1:17">
      <c r="A72" t="s">
        <v>224</v>
      </c>
      <c r="B72">
        <v>500</v>
      </c>
      <c r="C72" t="s">
        <v>27</v>
      </c>
      <c r="D72">
        <v>0</v>
      </c>
      <c r="E72">
        <v>73</v>
      </c>
      <c r="F72" t="s">
        <v>206</v>
      </c>
      <c r="G72" s="1">
        <v>39769</v>
      </c>
      <c r="H72">
        <v>57523</v>
      </c>
      <c r="I72" t="s">
        <v>194</v>
      </c>
      <c r="J72">
        <v>126</v>
      </c>
      <c r="K72">
        <v>494</v>
      </c>
      <c r="L72">
        <v>414</v>
      </c>
      <c r="M72">
        <v>46</v>
      </c>
      <c r="N72">
        <v>3606</v>
      </c>
      <c r="O72" t="str">
        <f t="shared" si="2"/>
        <v>Q4 2008</v>
      </c>
      <c r="P72" s="1">
        <f t="shared" si="3"/>
        <v>39722</v>
      </c>
      <c r="Q72" t="s">
        <v>225</v>
      </c>
    </row>
    <row r="73" spans="1:17">
      <c r="A73" t="s">
        <v>226</v>
      </c>
      <c r="B73">
        <v>287980</v>
      </c>
      <c r="C73" t="s">
        <v>27</v>
      </c>
      <c r="D73">
        <v>0</v>
      </c>
      <c r="E73">
        <v>73</v>
      </c>
      <c r="F73" t="s">
        <v>206</v>
      </c>
      <c r="G73" s="1">
        <v>42314</v>
      </c>
      <c r="H73">
        <v>12672</v>
      </c>
      <c r="I73" t="s">
        <v>227</v>
      </c>
      <c r="J73">
        <v>144</v>
      </c>
      <c r="K73">
        <v>97</v>
      </c>
      <c r="L73">
        <v>368</v>
      </c>
      <c r="M73">
        <v>41</v>
      </c>
      <c r="N73">
        <v>2743</v>
      </c>
      <c r="O73" t="str">
        <f t="shared" si="2"/>
        <v>Q4 2015</v>
      </c>
      <c r="P73" s="1">
        <f t="shared" si="3"/>
        <v>42278</v>
      </c>
      <c r="Q73" t="s">
        <v>228</v>
      </c>
    </row>
    <row r="74" spans="1:17">
      <c r="A74" t="s">
        <v>229</v>
      </c>
      <c r="B74">
        <v>548430</v>
      </c>
      <c r="C74" t="s">
        <v>27</v>
      </c>
      <c r="D74">
        <v>8</v>
      </c>
      <c r="E74">
        <v>69</v>
      </c>
      <c r="F74" t="s">
        <v>206</v>
      </c>
      <c r="G74" s="1">
        <v>43964</v>
      </c>
      <c r="H74">
        <v>301480</v>
      </c>
      <c r="I74" t="s">
        <v>230</v>
      </c>
      <c r="J74">
        <v>57</v>
      </c>
      <c r="K74">
        <v>89</v>
      </c>
      <c r="L74">
        <v>2947</v>
      </c>
      <c r="M74">
        <v>30</v>
      </c>
      <c r="N74">
        <v>31147</v>
      </c>
      <c r="O74" t="str">
        <f t="shared" si="2"/>
        <v>Q2 2020</v>
      </c>
      <c r="P74" s="1">
        <f t="shared" si="3"/>
        <v>43922</v>
      </c>
      <c r="Q74" t="s">
        <v>231</v>
      </c>
    </row>
    <row r="75" spans="1:17">
      <c r="A75" t="s">
        <v>232</v>
      </c>
      <c r="B75">
        <v>220</v>
      </c>
      <c r="C75" t="s">
        <v>27</v>
      </c>
      <c r="D75">
        <v>0</v>
      </c>
      <c r="E75">
        <v>69</v>
      </c>
      <c r="F75" t="s">
        <v>206</v>
      </c>
      <c r="G75" s="1">
        <v>38307</v>
      </c>
      <c r="H75">
        <v>200189</v>
      </c>
      <c r="I75" t="s">
        <v>194</v>
      </c>
      <c r="J75">
        <v>106</v>
      </c>
      <c r="K75">
        <v>3100</v>
      </c>
      <c r="L75">
        <v>784</v>
      </c>
      <c r="M75">
        <v>807</v>
      </c>
      <c r="N75">
        <v>1245</v>
      </c>
      <c r="O75" t="str">
        <f t="shared" si="2"/>
        <v>Q4 2004</v>
      </c>
      <c r="P75" s="1">
        <f t="shared" si="3"/>
        <v>38261</v>
      </c>
      <c r="Q75" t="s">
        <v>233</v>
      </c>
    </row>
    <row r="76" spans="1:17">
      <c r="A76" t="s">
        <v>234</v>
      </c>
      <c r="B76">
        <v>367520</v>
      </c>
      <c r="C76" t="s">
        <v>27</v>
      </c>
      <c r="D76">
        <v>0</v>
      </c>
      <c r="E76">
        <v>63</v>
      </c>
      <c r="F76" t="s">
        <v>206</v>
      </c>
      <c r="G76" s="1">
        <v>42790</v>
      </c>
      <c r="H76">
        <v>493335</v>
      </c>
      <c r="I76" t="s">
        <v>235</v>
      </c>
      <c r="J76">
        <v>115</v>
      </c>
      <c r="K76">
        <v>2700</v>
      </c>
      <c r="L76">
        <v>1693</v>
      </c>
      <c r="M76">
        <v>2000</v>
      </c>
      <c r="N76">
        <v>4207</v>
      </c>
      <c r="O76" t="str">
        <f t="shared" si="2"/>
        <v>Q1 2017</v>
      </c>
      <c r="P76" s="1">
        <f t="shared" si="3"/>
        <v>42736</v>
      </c>
      <c r="Q76" t="s">
        <v>236</v>
      </c>
    </row>
    <row r="77" spans="1:17">
      <c r="A77" t="s">
        <v>237</v>
      </c>
      <c r="B77">
        <v>247080</v>
      </c>
      <c r="C77" t="s">
        <v>27</v>
      </c>
      <c r="D77">
        <v>0</v>
      </c>
      <c r="E77">
        <v>61</v>
      </c>
      <c r="F77" t="s">
        <v>206</v>
      </c>
      <c r="G77" s="1">
        <v>42117</v>
      </c>
      <c r="H77">
        <v>23487</v>
      </c>
      <c r="I77" t="s">
        <v>238</v>
      </c>
      <c r="J77">
        <v>40</v>
      </c>
      <c r="K77">
        <v>147</v>
      </c>
      <c r="L77">
        <v>851</v>
      </c>
      <c r="M77">
        <v>5</v>
      </c>
      <c r="N77">
        <v>30462</v>
      </c>
      <c r="O77" t="str">
        <f t="shared" si="2"/>
        <v>Q2 2015</v>
      </c>
      <c r="P77" s="1">
        <f t="shared" si="3"/>
        <v>42095</v>
      </c>
      <c r="Q77" t="s">
        <v>239</v>
      </c>
    </row>
    <row r="78" spans="1:17">
      <c r="A78" t="s">
        <v>240</v>
      </c>
      <c r="B78">
        <v>601150</v>
      </c>
      <c r="C78" t="s">
        <v>27</v>
      </c>
      <c r="D78">
        <v>0</v>
      </c>
      <c r="E78">
        <v>55</v>
      </c>
      <c r="F78" t="s">
        <v>206</v>
      </c>
      <c r="G78" s="1">
        <v>43531</v>
      </c>
      <c r="H78">
        <v>116538</v>
      </c>
      <c r="I78" t="s">
        <v>126</v>
      </c>
      <c r="J78">
        <v>65</v>
      </c>
      <c r="K78">
        <v>1900</v>
      </c>
      <c r="L78">
        <v>677</v>
      </c>
      <c r="M78">
        <v>75</v>
      </c>
      <c r="N78">
        <v>4868</v>
      </c>
      <c r="O78" t="str">
        <f t="shared" si="2"/>
        <v>Q1 2019</v>
      </c>
      <c r="P78" s="1">
        <f t="shared" si="3"/>
        <v>43466</v>
      </c>
      <c r="Q78" t="s">
        <v>241</v>
      </c>
    </row>
    <row r="79" spans="1:17">
      <c r="A79" t="s">
        <v>242</v>
      </c>
      <c r="B79">
        <v>638970</v>
      </c>
      <c r="C79" t="s">
        <v>27</v>
      </c>
      <c r="D79">
        <v>0</v>
      </c>
      <c r="E79">
        <v>55</v>
      </c>
      <c r="F79" t="s">
        <v>206</v>
      </c>
      <c r="G79" s="1">
        <v>43313</v>
      </c>
      <c r="H79">
        <v>77659</v>
      </c>
      <c r="I79" t="s">
        <v>243</v>
      </c>
      <c r="J79">
        <v>243</v>
      </c>
      <c r="K79">
        <v>1400</v>
      </c>
      <c r="L79">
        <v>1927</v>
      </c>
      <c r="M79">
        <v>399</v>
      </c>
      <c r="N79">
        <v>8822</v>
      </c>
      <c r="O79" t="str">
        <f t="shared" si="2"/>
        <v>Q3 2018</v>
      </c>
      <c r="P79" s="1">
        <f t="shared" si="3"/>
        <v>43282</v>
      </c>
      <c r="Q79" t="s">
        <v>244</v>
      </c>
    </row>
    <row r="80" spans="1:17">
      <c r="A80" t="s">
        <v>245</v>
      </c>
      <c r="B80">
        <v>379720</v>
      </c>
      <c r="C80" t="s">
        <v>27</v>
      </c>
      <c r="D80">
        <v>0</v>
      </c>
      <c r="E80">
        <v>54</v>
      </c>
      <c r="F80" t="s">
        <v>206</v>
      </c>
      <c r="G80" s="1">
        <v>42502</v>
      </c>
      <c r="H80">
        <v>153518</v>
      </c>
      <c r="I80" t="s">
        <v>101</v>
      </c>
      <c r="J80">
        <v>72</v>
      </c>
      <c r="K80">
        <v>3500</v>
      </c>
      <c r="L80">
        <v>708</v>
      </c>
      <c r="M80">
        <v>696</v>
      </c>
      <c r="N80">
        <v>1754</v>
      </c>
      <c r="O80" t="str">
        <f t="shared" si="2"/>
        <v>Q2 2016</v>
      </c>
      <c r="P80" s="1">
        <f t="shared" si="3"/>
        <v>42461</v>
      </c>
      <c r="Q80" t="s">
        <v>246</v>
      </c>
    </row>
    <row r="81" spans="1:17">
      <c r="A81" t="s">
        <v>247</v>
      </c>
      <c r="B81">
        <v>311690</v>
      </c>
      <c r="C81" t="s">
        <v>27</v>
      </c>
      <c r="D81">
        <v>0</v>
      </c>
      <c r="E81">
        <v>54</v>
      </c>
      <c r="F81" t="s">
        <v>206</v>
      </c>
      <c r="G81" s="1">
        <v>42465</v>
      </c>
      <c r="H81">
        <v>78941</v>
      </c>
      <c r="I81" t="s">
        <v>47</v>
      </c>
      <c r="J81">
        <v>79</v>
      </c>
      <c r="K81">
        <v>205</v>
      </c>
      <c r="L81">
        <v>1444</v>
      </c>
      <c r="M81">
        <v>181</v>
      </c>
      <c r="N81">
        <v>10025</v>
      </c>
      <c r="O81" t="str">
        <f t="shared" si="2"/>
        <v>Q2 2016</v>
      </c>
      <c r="P81" s="1">
        <f t="shared" si="3"/>
        <v>42461</v>
      </c>
      <c r="Q81" t="s">
        <v>248</v>
      </c>
    </row>
    <row r="82" spans="1:17">
      <c r="A82" t="s">
        <v>249</v>
      </c>
      <c r="B82">
        <v>743450</v>
      </c>
      <c r="C82" t="s">
        <v>27</v>
      </c>
      <c r="D82">
        <v>7</v>
      </c>
      <c r="E82">
        <v>52</v>
      </c>
      <c r="F82" t="s">
        <v>206</v>
      </c>
      <c r="G82" s="1">
        <v>43217</v>
      </c>
      <c r="H82">
        <v>12219</v>
      </c>
      <c r="I82" t="s">
        <v>250</v>
      </c>
      <c r="J82">
        <v>146</v>
      </c>
      <c r="K82">
        <v>116</v>
      </c>
      <c r="L82">
        <v>67</v>
      </c>
      <c r="M82">
        <v>11</v>
      </c>
      <c r="N82">
        <v>7746</v>
      </c>
      <c r="O82" t="str">
        <f t="shared" si="2"/>
        <v>Q2 2018</v>
      </c>
      <c r="P82" s="1">
        <f t="shared" si="3"/>
        <v>43191</v>
      </c>
      <c r="Q82" t="s">
        <v>251</v>
      </c>
    </row>
    <row r="83" spans="1:17">
      <c r="A83" t="s">
        <v>252</v>
      </c>
      <c r="B83">
        <v>212680</v>
      </c>
      <c r="C83" t="s">
        <v>27</v>
      </c>
      <c r="D83">
        <v>0</v>
      </c>
      <c r="E83">
        <v>51</v>
      </c>
      <c r="F83" t="s">
        <v>206</v>
      </c>
      <c r="G83" s="1">
        <v>41166</v>
      </c>
      <c r="H83">
        <v>62307</v>
      </c>
      <c r="I83" t="s">
        <v>253</v>
      </c>
      <c r="J83">
        <v>95</v>
      </c>
      <c r="K83">
        <v>300</v>
      </c>
      <c r="L83">
        <v>775</v>
      </c>
      <c r="M83">
        <v>65</v>
      </c>
      <c r="N83">
        <v>7296</v>
      </c>
      <c r="O83" t="str">
        <f t="shared" si="2"/>
        <v>Q3 2012</v>
      </c>
      <c r="P83" s="1">
        <f t="shared" si="3"/>
        <v>41091</v>
      </c>
      <c r="Q83" t="s">
        <v>254</v>
      </c>
    </row>
    <row r="84" spans="1:17">
      <c r="A84" t="s">
        <v>255</v>
      </c>
      <c r="B84">
        <v>457140</v>
      </c>
      <c r="C84" t="s">
        <v>27</v>
      </c>
      <c r="D84">
        <v>1</v>
      </c>
      <c r="E84">
        <v>51</v>
      </c>
      <c r="F84" t="s">
        <v>206</v>
      </c>
      <c r="G84" s="1">
        <v>43676</v>
      </c>
      <c r="H84">
        <v>134010</v>
      </c>
      <c r="I84" t="s">
        <v>256</v>
      </c>
      <c r="J84">
        <v>160</v>
      </c>
      <c r="K84">
        <v>26</v>
      </c>
      <c r="L84">
        <v>6577</v>
      </c>
      <c r="M84">
        <v>3</v>
      </c>
      <c r="N84">
        <v>29798</v>
      </c>
      <c r="O84" t="str">
        <f t="shared" si="2"/>
        <v>Q3 2019</v>
      </c>
      <c r="P84" s="1">
        <f t="shared" si="3"/>
        <v>43647</v>
      </c>
      <c r="Q84" t="s">
        <v>257</v>
      </c>
    </row>
    <row r="85" spans="1:17">
      <c r="A85" t="s">
        <v>258</v>
      </c>
      <c r="B85">
        <v>620</v>
      </c>
      <c r="C85" t="s">
        <v>27</v>
      </c>
      <c r="D85">
        <v>0</v>
      </c>
      <c r="E85">
        <v>51</v>
      </c>
      <c r="F85" t="s">
        <v>206</v>
      </c>
      <c r="G85" s="1">
        <v>40651</v>
      </c>
      <c r="H85">
        <v>387087</v>
      </c>
      <c r="I85" t="s">
        <v>194</v>
      </c>
      <c r="J85">
        <v>168</v>
      </c>
      <c r="K85">
        <v>5700</v>
      </c>
      <c r="L85">
        <v>530</v>
      </c>
      <c r="M85">
        <v>745</v>
      </c>
      <c r="N85">
        <v>1444</v>
      </c>
      <c r="O85" t="str">
        <f t="shared" si="2"/>
        <v>Q2 2011</v>
      </c>
      <c r="P85" s="1">
        <f t="shared" si="3"/>
        <v>40634</v>
      </c>
      <c r="Q85" t="s">
        <v>259</v>
      </c>
    </row>
    <row r="86" spans="1:17">
      <c r="A86" t="s">
        <v>260</v>
      </c>
      <c r="B86">
        <v>1145360</v>
      </c>
      <c r="C86" t="s">
        <v>27</v>
      </c>
      <c r="D86">
        <v>0</v>
      </c>
      <c r="E86">
        <v>49</v>
      </c>
      <c r="F86" t="s">
        <v>206</v>
      </c>
      <c r="G86" s="1">
        <v>44091</v>
      </c>
      <c r="H86">
        <v>283171</v>
      </c>
      <c r="I86" t="s">
        <v>261</v>
      </c>
      <c r="J86">
        <v>105</v>
      </c>
      <c r="K86">
        <v>2800</v>
      </c>
      <c r="L86">
        <v>1472</v>
      </c>
      <c r="M86">
        <v>1400</v>
      </c>
      <c r="N86">
        <v>5907</v>
      </c>
      <c r="O86" t="str">
        <f t="shared" si="2"/>
        <v>Q3 2020</v>
      </c>
      <c r="P86" s="1">
        <f t="shared" si="3"/>
        <v>44013</v>
      </c>
      <c r="Q86" t="s">
        <v>262</v>
      </c>
    </row>
    <row r="87" spans="1:17">
      <c r="A87" t="s">
        <v>263</v>
      </c>
      <c r="B87">
        <v>1140270</v>
      </c>
      <c r="C87" t="s">
        <v>27</v>
      </c>
      <c r="D87">
        <v>0</v>
      </c>
      <c r="E87">
        <v>49</v>
      </c>
      <c r="F87" t="s">
        <v>206</v>
      </c>
      <c r="G87" s="1">
        <v>44127</v>
      </c>
      <c r="H87">
        <v>4979</v>
      </c>
      <c r="I87" t="s">
        <v>264</v>
      </c>
      <c r="J87">
        <v>147</v>
      </c>
      <c r="K87">
        <v>32</v>
      </c>
      <c r="L87">
        <v>82</v>
      </c>
      <c r="O87" t="str">
        <f t="shared" si="2"/>
        <v>Q4 2020</v>
      </c>
      <c r="P87" s="1">
        <f t="shared" si="3"/>
        <v>44105</v>
      </c>
      <c r="Q87" t="s">
        <v>265</v>
      </c>
    </row>
    <row r="88" spans="1:17">
      <c r="A88" t="s">
        <v>266</v>
      </c>
      <c r="B88">
        <v>413420</v>
      </c>
      <c r="C88" t="s">
        <v>27</v>
      </c>
      <c r="D88">
        <v>15</v>
      </c>
      <c r="E88">
        <v>47</v>
      </c>
      <c r="F88" t="s">
        <v>206</v>
      </c>
      <c r="G88" s="1">
        <v>42478</v>
      </c>
      <c r="H88">
        <v>30216</v>
      </c>
      <c r="I88" t="s">
        <v>267</v>
      </c>
      <c r="J88">
        <v>42</v>
      </c>
      <c r="K88">
        <v>967</v>
      </c>
      <c r="L88">
        <v>2055</v>
      </c>
      <c r="M88">
        <v>216</v>
      </c>
      <c r="N88">
        <v>3715</v>
      </c>
      <c r="O88" t="str">
        <f t="shared" si="2"/>
        <v>Q2 2016</v>
      </c>
      <c r="P88" s="1">
        <f t="shared" si="3"/>
        <v>42461</v>
      </c>
      <c r="Q88" t="s">
        <v>268</v>
      </c>
    </row>
    <row r="89" spans="1:17">
      <c r="A89" t="s">
        <v>269</v>
      </c>
      <c r="B89">
        <v>843260</v>
      </c>
      <c r="C89" t="s">
        <v>27</v>
      </c>
      <c r="D89">
        <v>0</v>
      </c>
      <c r="E89">
        <v>47</v>
      </c>
      <c r="F89" t="s">
        <v>206</v>
      </c>
      <c r="G89" s="1">
        <v>43326</v>
      </c>
      <c r="H89">
        <v>1207</v>
      </c>
      <c r="I89" t="s">
        <v>113</v>
      </c>
      <c r="J89">
        <v>210</v>
      </c>
      <c r="K89">
        <v>3</v>
      </c>
      <c r="L89">
        <v>1733</v>
      </c>
      <c r="M89">
        <v>7</v>
      </c>
      <c r="N89">
        <v>6139</v>
      </c>
      <c r="O89" t="str">
        <f t="shared" si="2"/>
        <v>Q3 2018</v>
      </c>
      <c r="P89" s="1">
        <f t="shared" si="3"/>
        <v>43282</v>
      </c>
      <c r="Q89" t="s">
        <v>270</v>
      </c>
    </row>
    <row r="90" spans="1:17">
      <c r="A90" t="s">
        <v>271</v>
      </c>
      <c r="B90">
        <v>253230</v>
      </c>
      <c r="C90" t="s">
        <v>27</v>
      </c>
      <c r="D90">
        <v>0</v>
      </c>
      <c r="E90">
        <v>46</v>
      </c>
      <c r="F90" t="s">
        <v>206</v>
      </c>
      <c r="G90" s="1">
        <v>43013</v>
      </c>
      <c r="H90">
        <v>42701</v>
      </c>
      <c r="I90" t="s">
        <v>272</v>
      </c>
      <c r="J90">
        <v>5</v>
      </c>
      <c r="K90">
        <v>540</v>
      </c>
      <c r="L90">
        <v>590</v>
      </c>
      <c r="M90">
        <v>416</v>
      </c>
      <c r="N90">
        <v>1266</v>
      </c>
      <c r="O90" t="str">
        <f t="shared" si="2"/>
        <v>Q4 2017</v>
      </c>
      <c r="P90" s="1">
        <f t="shared" si="3"/>
        <v>43009</v>
      </c>
      <c r="Q90" t="s">
        <v>273</v>
      </c>
    </row>
    <row r="91" spans="1:17">
      <c r="A91" t="s">
        <v>274</v>
      </c>
      <c r="B91">
        <v>646570</v>
      </c>
      <c r="C91" t="s">
        <v>27</v>
      </c>
      <c r="D91">
        <v>38</v>
      </c>
      <c r="E91">
        <v>46</v>
      </c>
      <c r="F91" t="s">
        <v>206</v>
      </c>
      <c r="G91" s="1">
        <v>43488</v>
      </c>
      <c r="H91">
        <v>189528</v>
      </c>
      <c r="I91" t="s">
        <v>275</v>
      </c>
      <c r="J91">
        <v>192</v>
      </c>
      <c r="K91">
        <v>737</v>
      </c>
      <c r="L91">
        <v>797</v>
      </c>
      <c r="M91">
        <v>182</v>
      </c>
      <c r="N91">
        <v>11983</v>
      </c>
      <c r="O91" t="str">
        <f t="shared" si="2"/>
        <v>Q1 2019</v>
      </c>
      <c r="P91" s="1">
        <f t="shared" si="3"/>
        <v>43466</v>
      </c>
      <c r="Q91" t="s">
        <v>276</v>
      </c>
    </row>
    <row r="92" spans="1:17">
      <c r="A92" t="s">
        <v>277</v>
      </c>
      <c r="B92">
        <v>293780</v>
      </c>
      <c r="C92" t="s">
        <v>27</v>
      </c>
      <c r="D92">
        <v>0</v>
      </c>
      <c r="E92">
        <v>45</v>
      </c>
      <c r="F92" t="s">
        <v>206</v>
      </c>
      <c r="G92" s="1">
        <v>42836</v>
      </c>
      <c r="H92">
        <v>5596</v>
      </c>
      <c r="I92" t="s">
        <v>278</v>
      </c>
      <c r="J92">
        <v>38</v>
      </c>
      <c r="K92">
        <v>29</v>
      </c>
      <c r="L92">
        <v>85</v>
      </c>
      <c r="O92" t="str">
        <f t="shared" si="2"/>
        <v>Q2 2017</v>
      </c>
      <c r="P92" s="1">
        <f t="shared" si="3"/>
        <v>42826</v>
      </c>
      <c r="Q92" t="s">
        <v>279</v>
      </c>
    </row>
    <row r="93" spans="1:17">
      <c r="A93" t="s">
        <v>280</v>
      </c>
      <c r="B93">
        <v>268910</v>
      </c>
      <c r="C93" t="s">
        <v>27</v>
      </c>
      <c r="D93">
        <v>0</v>
      </c>
      <c r="E93">
        <v>42</v>
      </c>
      <c r="F93" t="s">
        <v>206</v>
      </c>
      <c r="G93" s="1">
        <v>43007</v>
      </c>
      <c r="H93">
        <v>194013</v>
      </c>
      <c r="I93" t="s">
        <v>281</v>
      </c>
      <c r="J93">
        <v>41</v>
      </c>
      <c r="K93">
        <v>1100</v>
      </c>
      <c r="L93">
        <v>656</v>
      </c>
      <c r="M93">
        <v>594</v>
      </c>
      <c r="N93">
        <v>1848</v>
      </c>
      <c r="O93" t="str">
        <f t="shared" si="2"/>
        <v>Q3 2017</v>
      </c>
      <c r="P93" s="1">
        <f t="shared" si="3"/>
        <v>42917</v>
      </c>
      <c r="Q93" t="s">
        <v>282</v>
      </c>
    </row>
    <row r="94" spans="1:17">
      <c r="A94" t="s">
        <v>283</v>
      </c>
      <c r="B94">
        <v>413410</v>
      </c>
      <c r="C94" t="s">
        <v>27</v>
      </c>
      <c r="D94">
        <v>12</v>
      </c>
      <c r="E94">
        <v>38</v>
      </c>
      <c r="F94" t="s">
        <v>206</v>
      </c>
      <c r="G94" s="1">
        <v>42418</v>
      </c>
      <c r="H94">
        <v>35326</v>
      </c>
      <c r="I94" t="s">
        <v>267</v>
      </c>
      <c r="J94">
        <v>44</v>
      </c>
      <c r="K94">
        <v>1500</v>
      </c>
      <c r="L94">
        <v>1526</v>
      </c>
      <c r="M94">
        <v>386</v>
      </c>
      <c r="N94">
        <v>2803</v>
      </c>
      <c r="O94" t="str">
        <f t="shared" si="2"/>
        <v>Q1 2016</v>
      </c>
      <c r="P94" s="1">
        <f t="shared" si="3"/>
        <v>42370</v>
      </c>
      <c r="Q94" t="s">
        <v>284</v>
      </c>
    </row>
    <row r="95" spans="1:17">
      <c r="A95" t="s">
        <v>285</v>
      </c>
      <c r="B95">
        <v>3830</v>
      </c>
      <c r="C95" t="s">
        <v>27</v>
      </c>
      <c r="D95">
        <v>0</v>
      </c>
      <c r="E95">
        <v>37</v>
      </c>
      <c r="F95" t="s">
        <v>206</v>
      </c>
      <c r="G95" s="1">
        <v>38461</v>
      </c>
      <c r="H95">
        <v>12128</v>
      </c>
      <c r="I95" t="s">
        <v>286</v>
      </c>
      <c r="J95">
        <v>169</v>
      </c>
      <c r="K95">
        <v>754</v>
      </c>
      <c r="L95">
        <v>721</v>
      </c>
      <c r="M95">
        <v>422</v>
      </c>
      <c r="N95">
        <v>1332</v>
      </c>
      <c r="O95" t="str">
        <f t="shared" si="2"/>
        <v>Q2 2005</v>
      </c>
      <c r="P95" s="1">
        <f t="shared" si="3"/>
        <v>38443</v>
      </c>
      <c r="Q95" t="s">
        <v>287</v>
      </c>
    </row>
    <row r="96" spans="1:17">
      <c r="A96" t="s">
        <v>288</v>
      </c>
      <c r="B96">
        <v>219150</v>
      </c>
      <c r="C96" t="s">
        <v>27</v>
      </c>
      <c r="D96">
        <v>0</v>
      </c>
      <c r="E96">
        <v>35</v>
      </c>
      <c r="F96" t="s">
        <v>206</v>
      </c>
      <c r="G96" s="1">
        <v>41205</v>
      </c>
      <c r="H96">
        <v>107310</v>
      </c>
      <c r="I96" t="s">
        <v>47</v>
      </c>
      <c r="J96">
        <v>116</v>
      </c>
      <c r="K96">
        <v>2300</v>
      </c>
      <c r="L96">
        <v>328</v>
      </c>
      <c r="M96">
        <v>537</v>
      </c>
      <c r="N96">
        <v>953</v>
      </c>
      <c r="O96" t="str">
        <f t="shared" si="2"/>
        <v>Q4 2012</v>
      </c>
      <c r="P96" s="1">
        <f t="shared" si="3"/>
        <v>41183</v>
      </c>
      <c r="Q96" t="s">
        <v>289</v>
      </c>
    </row>
    <row r="97" spans="1:17">
      <c r="A97" t="s">
        <v>290</v>
      </c>
      <c r="B97">
        <v>504230</v>
      </c>
      <c r="C97" t="s">
        <v>27</v>
      </c>
      <c r="D97">
        <v>0</v>
      </c>
      <c r="E97">
        <v>32</v>
      </c>
      <c r="F97" t="s">
        <v>206</v>
      </c>
      <c r="G97" s="1">
        <v>43125</v>
      </c>
      <c r="H97">
        <v>128887</v>
      </c>
      <c r="I97" t="s">
        <v>291</v>
      </c>
      <c r="J97">
        <v>35</v>
      </c>
      <c r="K97">
        <v>3500</v>
      </c>
      <c r="L97">
        <v>517</v>
      </c>
      <c r="M97">
        <v>913</v>
      </c>
      <c r="N97">
        <v>2425</v>
      </c>
      <c r="O97" t="str">
        <f t="shared" si="2"/>
        <v>Q1 2018</v>
      </c>
      <c r="P97" s="1">
        <f t="shared" si="3"/>
        <v>43101</v>
      </c>
      <c r="Q97" t="s">
        <v>292</v>
      </c>
    </row>
    <row r="98" spans="1:17">
      <c r="A98" t="s">
        <v>293</v>
      </c>
      <c r="B98">
        <v>557340</v>
      </c>
      <c r="C98" t="s">
        <v>27</v>
      </c>
      <c r="D98">
        <v>0</v>
      </c>
      <c r="E98">
        <v>30</v>
      </c>
      <c r="F98" t="s">
        <v>206</v>
      </c>
      <c r="G98" s="1">
        <v>43636</v>
      </c>
      <c r="H98">
        <v>24439</v>
      </c>
      <c r="I98" t="s">
        <v>47</v>
      </c>
      <c r="J98">
        <v>151</v>
      </c>
      <c r="K98">
        <v>973</v>
      </c>
      <c r="L98">
        <v>250</v>
      </c>
      <c r="M98">
        <v>60</v>
      </c>
      <c r="N98">
        <v>610</v>
      </c>
      <c r="O98" t="str">
        <f t="shared" si="2"/>
        <v>Q2 2019</v>
      </c>
      <c r="P98" s="1">
        <f t="shared" si="3"/>
        <v>43556</v>
      </c>
      <c r="Q98" t="s">
        <v>294</v>
      </c>
    </row>
    <row r="99" spans="1:17">
      <c r="A99" t="s">
        <v>295</v>
      </c>
      <c r="B99">
        <v>2982610</v>
      </c>
      <c r="C99" t="s">
        <v>27</v>
      </c>
      <c r="D99">
        <v>8</v>
      </c>
      <c r="E99">
        <v>30</v>
      </c>
      <c r="F99" t="s">
        <v>206</v>
      </c>
      <c r="G99" s="1">
        <v>46168</v>
      </c>
      <c r="H99">
        <v>1004</v>
      </c>
      <c r="I99" t="s">
        <v>296</v>
      </c>
      <c r="J99">
        <v>200</v>
      </c>
      <c r="K99">
        <v>4</v>
      </c>
      <c r="L99">
        <v>607</v>
      </c>
      <c r="M99">
        <v>1</v>
      </c>
      <c r="N99">
        <v>1105</v>
      </c>
      <c r="O99" t="str">
        <f t="shared" si="2"/>
        <v>Q2 2026</v>
      </c>
      <c r="P99" s="1">
        <f t="shared" si="3"/>
        <v>46113</v>
      </c>
      <c r="Q99" t="s">
        <v>297</v>
      </c>
    </row>
    <row r="100" spans="1:17">
      <c r="A100" t="s">
        <v>298</v>
      </c>
      <c r="B100">
        <v>4000</v>
      </c>
      <c r="C100" t="s">
        <v>27</v>
      </c>
      <c r="D100">
        <v>4</v>
      </c>
      <c r="E100">
        <v>29</v>
      </c>
      <c r="F100" t="s">
        <v>206</v>
      </c>
      <c r="G100" s="1">
        <v>39050</v>
      </c>
      <c r="H100">
        <v>1078531</v>
      </c>
      <c r="I100" t="s">
        <v>194</v>
      </c>
      <c r="J100">
        <v>98</v>
      </c>
      <c r="K100">
        <v>77</v>
      </c>
      <c r="L100">
        <v>3657</v>
      </c>
      <c r="M100">
        <v>22</v>
      </c>
      <c r="N100">
        <v>41525</v>
      </c>
      <c r="O100" t="str">
        <f t="shared" si="2"/>
        <v>Q4 2006</v>
      </c>
      <c r="P100" s="1">
        <f t="shared" si="3"/>
        <v>38991</v>
      </c>
      <c r="Q100" t="s">
        <v>299</v>
      </c>
    </row>
    <row r="101" spans="1:17">
      <c r="A101" t="s">
        <v>300</v>
      </c>
      <c r="B101">
        <v>460950</v>
      </c>
      <c r="C101" t="s">
        <v>27</v>
      </c>
      <c r="D101">
        <v>12</v>
      </c>
      <c r="E101">
        <v>22</v>
      </c>
      <c r="F101" t="s">
        <v>206</v>
      </c>
      <c r="G101" s="1">
        <v>43573</v>
      </c>
      <c r="H101">
        <v>65840</v>
      </c>
      <c r="I101" t="s">
        <v>47</v>
      </c>
      <c r="J101">
        <v>123</v>
      </c>
      <c r="K101">
        <v>1500</v>
      </c>
      <c r="L101">
        <v>289</v>
      </c>
      <c r="M101">
        <v>173</v>
      </c>
      <c r="N101">
        <v>945</v>
      </c>
      <c r="O101" t="str">
        <f t="shared" si="2"/>
        <v>Q2 2019</v>
      </c>
      <c r="P101" s="1">
        <f t="shared" si="3"/>
        <v>43556</v>
      </c>
      <c r="Q101" t="s">
        <v>301</v>
      </c>
    </row>
    <row r="102" spans="1:17">
      <c r="A102" t="s">
        <v>302</v>
      </c>
      <c r="B102">
        <v>92800</v>
      </c>
      <c r="C102" t="s">
        <v>27</v>
      </c>
      <c r="D102">
        <v>0</v>
      </c>
      <c r="E102">
        <v>20</v>
      </c>
      <c r="F102" t="s">
        <v>206</v>
      </c>
      <c r="G102" s="1">
        <v>40604</v>
      </c>
      <c r="H102">
        <v>2617</v>
      </c>
      <c r="I102" t="s">
        <v>303</v>
      </c>
      <c r="J102">
        <v>195</v>
      </c>
      <c r="K102">
        <v>17</v>
      </c>
      <c r="L102">
        <v>2552</v>
      </c>
      <c r="M102">
        <v>20</v>
      </c>
      <c r="N102">
        <v>4358</v>
      </c>
      <c r="O102" t="str">
        <f t="shared" si="2"/>
        <v>Q1 2011</v>
      </c>
      <c r="P102" s="1">
        <f t="shared" si="3"/>
        <v>40544</v>
      </c>
      <c r="Q102" t="s">
        <v>304</v>
      </c>
    </row>
    <row r="103" spans="1:17">
      <c r="A103" t="s">
        <v>305</v>
      </c>
      <c r="B103">
        <v>397460</v>
      </c>
      <c r="C103" t="s">
        <v>27</v>
      </c>
      <c r="D103">
        <v>3</v>
      </c>
      <c r="E103">
        <v>20</v>
      </c>
      <c r="F103" t="s">
        <v>206</v>
      </c>
      <c r="G103" s="1">
        <v>42290</v>
      </c>
      <c r="H103">
        <v>1437</v>
      </c>
      <c r="I103" t="s">
        <v>306</v>
      </c>
      <c r="J103">
        <v>214</v>
      </c>
      <c r="O103" t="str">
        <f t="shared" si="2"/>
        <v>Q4 2015</v>
      </c>
      <c r="P103" s="1">
        <f t="shared" si="3"/>
        <v>42278</v>
      </c>
      <c r="Q103" t="s">
        <v>307</v>
      </c>
    </row>
    <row r="104" spans="1:17">
      <c r="A104" t="s">
        <v>308</v>
      </c>
      <c r="B104">
        <v>70300</v>
      </c>
      <c r="C104" t="s">
        <v>27</v>
      </c>
      <c r="D104">
        <v>0</v>
      </c>
      <c r="E104">
        <v>19</v>
      </c>
      <c r="F104" t="s">
        <v>206</v>
      </c>
      <c r="G104" s="1">
        <v>40428</v>
      </c>
      <c r="H104">
        <v>6615</v>
      </c>
      <c r="I104" t="s">
        <v>309</v>
      </c>
      <c r="J104">
        <v>235</v>
      </c>
      <c r="K104">
        <v>749</v>
      </c>
      <c r="L104">
        <v>149</v>
      </c>
      <c r="M104">
        <v>119</v>
      </c>
      <c r="N104">
        <v>320</v>
      </c>
      <c r="O104" t="str">
        <f t="shared" si="2"/>
        <v>Q3 2010</v>
      </c>
      <c r="P104" s="1">
        <f t="shared" si="3"/>
        <v>40360</v>
      </c>
      <c r="Q104" t="s">
        <v>310</v>
      </c>
    </row>
    <row r="105" spans="1:17">
      <c r="A105" t="s">
        <v>311</v>
      </c>
      <c r="B105">
        <v>312530</v>
      </c>
      <c r="C105" t="s">
        <v>27</v>
      </c>
      <c r="D105">
        <v>0</v>
      </c>
      <c r="E105">
        <v>18</v>
      </c>
      <c r="F105" t="s">
        <v>206</v>
      </c>
      <c r="G105" s="1">
        <v>42159</v>
      </c>
      <c r="H105">
        <v>25234</v>
      </c>
      <c r="I105" t="s">
        <v>312</v>
      </c>
      <c r="J105">
        <v>76</v>
      </c>
      <c r="K105">
        <v>14</v>
      </c>
      <c r="L105">
        <v>242</v>
      </c>
      <c r="M105">
        <v>7</v>
      </c>
      <c r="N105">
        <v>8611</v>
      </c>
      <c r="O105" t="str">
        <f t="shared" si="2"/>
        <v>Q2 2015</v>
      </c>
      <c r="P105" s="1">
        <f t="shared" si="3"/>
        <v>42095</v>
      </c>
      <c r="Q105" t="s">
        <v>313</v>
      </c>
    </row>
    <row r="106" spans="1:17">
      <c r="A106" t="s">
        <v>314</v>
      </c>
      <c r="B106">
        <v>683320</v>
      </c>
      <c r="C106" t="s">
        <v>27</v>
      </c>
      <c r="D106">
        <v>8</v>
      </c>
      <c r="E106">
        <v>17</v>
      </c>
      <c r="F106" t="s">
        <v>206</v>
      </c>
      <c r="G106" s="1">
        <v>43447</v>
      </c>
      <c r="H106">
        <v>83124</v>
      </c>
      <c r="I106" t="s">
        <v>47</v>
      </c>
      <c r="J106">
        <v>102</v>
      </c>
      <c r="K106">
        <v>2500</v>
      </c>
      <c r="L106">
        <v>216</v>
      </c>
      <c r="M106">
        <v>766</v>
      </c>
      <c r="N106">
        <v>398</v>
      </c>
      <c r="O106" t="str">
        <f t="shared" si="2"/>
        <v>Q4 2018</v>
      </c>
      <c r="P106" s="1">
        <f t="shared" si="3"/>
        <v>43374</v>
      </c>
      <c r="Q106" t="s">
        <v>315</v>
      </c>
    </row>
    <row r="107" spans="1:17">
      <c r="A107" t="s">
        <v>316</v>
      </c>
      <c r="B107">
        <v>431960</v>
      </c>
      <c r="C107" t="s">
        <v>27</v>
      </c>
      <c r="D107">
        <v>0</v>
      </c>
      <c r="E107">
        <v>17</v>
      </c>
      <c r="F107" t="s">
        <v>206</v>
      </c>
      <c r="G107" s="1">
        <v>43420</v>
      </c>
      <c r="H107">
        <v>930041</v>
      </c>
      <c r="I107" t="s">
        <v>317</v>
      </c>
      <c r="O107" t="str">
        <f t="shared" si="2"/>
        <v>Q4 2018</v>
      </c>
      <c r="P107" s="1">
        <f t="shared" si="3"/>
        <v>43374</v>
      </c>
      <c r="Q107" t="s">
        <v>318</v>
      </c>
    </row>
    <row r="108" spans="1:17">
      <c r="A108" t="s">
        <v>319</v>
      </c>
      <c r="B108">
        <v>716490</v>
      </c>
      <c r="C108" t="s">
        <v>27</v>
      </c>
      <c r="D108">
        <v>0</v>
      </c>
      <c r="E108">
        <v>16</v>
      </c>
      <c r="F108" t="s">
        <v>206</v>
      </c>
      <c r="G108" s="1">
        <v>43395</v>
      </c>
      <c r="H108">
        <v>1363</v>
      </c>
      <c r="I108" t="s">
        <v>303</v>
      </c>
      <c r="J108">
        <v>83</v>
      </c>
      <c r="K108">
        <v>20</v>
      </c>
      <c r="L108">
        <v>1529</v>
      </c>
      <c r="M108">
        <v>5</v>
      </c>
      <c r="N108">
        <v>1771</v>
      </c>
      <c r="O108" t="str">
        <f t="shared" si="2"/>
        <v>Q4 2018</v>
      </c>
      <c r="P108" s="1">
        <f t="shared" si="3"/>
        <v>43374</v>
      </c>
      <c r="Q108" t="s">
        <v>320</v>
      </c>
    </row>
    <row r="109" spans="1:17">
      <c r="A109" t="s">
        <v>321</v>
      </c>
      <c r="B109">
        <v>400</v>
      </c>
      <c r="C109" t="s">
        <v>27</v>
      </c>
      <c r="D109">
        <v>0</v>
      </c>
      <c r="E109">
        <v>15</v>
      </c>
      <c r="F109" t="s">
        <v>206</v>
      </c>
      <c r="G109" s="1">
        <v>39365</v>
      </c>
      <c r="H109">
        <v>171312</v>
      </c>
      <c r="I109" t="s">
        <v>194</v>
      </c>
      <c r="J109">
        <v>167</v>
      </c>
      <c r="K109">
        <v>8100</v>
      </c>
      <c r="L109">
        <v>194</v>
      </c>
      <c r="M109">
        <v>1100</v>
      </c>
      <c r="N109">
        <v>655</v>
      </c>
      <c r="O109" t="str">
        <f t="shared" si="2"/>
        <v>Q4 2007</v>
      </c>
      <c r="P109" s="1">
        <f t="shared" si="3"/>
        <v>39356</v>
      </c>
      <c r="Q109" t="s">
        <v>322</v>
      </c>
    </row>
    <row r="110" spans="1:17">
      <c r="A110" t="s">
        <v>323</v>
      </c>
      <c r="B110">
        <v>572890</v>
      </c>
      <c r="C110" t="s">
        <v>27</v>
      </c>
      <c r="D110">
        <v>0</v>
      </c>
      <c r="E110">
        <v>14</v>
      </c>
      <c r="F110" t="s">
        <v>206</v>
      </c>
      <c r="G110" s="1">
        <v>43489</v>
      </c>
      <c r="H110">
        <v>9841</v>
      </c>
      <c r="I110" t="s">
        <v>47</v>
      </c>
      <c r="J110">
        <v>164</v>
      </c>
      <c r="K110">
        <v>361</v>
      </c>
      <c r="L110">
        <v>193</v>
      </c>
      <c r="M110">
        <v>102</v>
      </c>
      <c r="N110">
        <v>421</v>
      </c>
      <c r="O110" t="str">
        <f t="shared" si="2"/>
        <v>Q1 2019</v>
      </c>
      <c r="P110" s="1">
        <f t="shared" si="3"/>
        <v>43466</v>
      </c>
      <c r="Q110" t="s">
        <v>324</v>
      </c>
    </row>
    <row r="111" spans="1:17">
      <c r="A111" t="s">
        <v>325</v>
      </c>
      <c r="B111">
        <v>1289310</v>
      </c>
      <c r="C111" t="s">
        <v>27</v>
      </c>
      <c r="D111">
        <v>7</v>
      </c>
      <c r="E111">
        <v>10</v>
      </c>
      <c r="F111" t="s">
        <v>206</v>
      </c>
      <c r="G111" s="1">
        <v>43962</v>
      </c>
      <c r="H111">
        <v>127701</v>
      </c>
      <c r="I111" t="s">
        <v>326</v>
      </c>
      <c r="O111" t="str">
        <f t="shared" si="2"/>
        <v>Q2 2020</v>
      </c>
      <c r="P111" s="1">
        <f t="shared" si="3"/>
        <v>43922</v>
      </c>
      <c r="Q111" t="s">
        <v>327</v>
      </c>
    </row>
    <row r="112" spans="1:17">
      <c r="A112" t="s">
        <v>328</v>
      </c>
      <c r="B112">
        <v>558990</v>
      </c>
      <c r="C112" t="s">
        <v>27</v>
      </c>
      <c r="D112">
        <v>0</v>
      </c>
      <c r="E112">
        <v>6</v>
      </c>
      <c r="F112" t="s">
        <v>206</v>
      </c>
      <c r="G112" s="1">
        <v>43076</v>
      </c>
      <c r="H112">
        <v>5803</v>
      </c>
      <c r="I112" t="s">
        <v>303</v>
      </c>
      <c r="J112">
        <v>159</v>
      </c>
      <c r="K112">
        <v>75</v>
      </c>
      <c r="L112">
        <v>947</v>
      </c>
      <c r="M112">
        <v>24</v>
      </c>
      <c r="N112">
        <v>2948</v>
      </c>
      <c r="O112" t="str">
        <f t="shared" si="2"/>
        <v>Q4 2017</v>
      </c>
      <c r="P112" s="1">
        <f t="shared" si="3"/>
        <v>43009</v>
      </c>
      <c r="Q112" t="s">
        <v>329</v>
      </c>
    </row>
    <row r="113" spans="1:17">
      <c r="A113" t="s">
        <v>330</v>
      </c>
      <c r="B113">
        <v>221640</v>
      </c>
      <c r="C113" t="s">
        <v>27</v>
      </c>
      <c r="D113">
        <v>0</v>
      </c>
      <c r="E113">
        <v>6</v>
      </c>
      <c r="F113" t="s">
        <v>206</v>
      </c>
      <c r="G113" s="1">
        <v>41240</v>
      </c>
      <c r="H113">
        <v>18307</v>
      </c>
      <c r="I113" t="s">
        <v>309</v>
      </c>
      <c r="J113">
        <v>204</v>
      </c>
      <c r="K113">
        <v>87</v>
      </c>
      <c r="L113">
        <v>361</v>
      </c>
      <c r="M113">
        <v>129</v>
      </c>
      <c r="N113">
        <v>1158</v>
      </c>
      <c r="O113" t="str">
        <f t="shared" si="2"/>
        <v>Q4 2012</v>
      </c>
      <c r="P113" s="1">
        <f t="shared" si="3"/>
        <v>41183</v>
      </c>
      <c r="Q113" t="s">
        <v>331</v>
      </c>
    </row>
    <row r="114" spans="1:17">
      <c r="A114" t="s">
        <v>332</v>
      </c>
      <c r="B114">
        <v>316610</v>
      </c>
      <c r="C114" t="s">
        <v>27</v>
      </c>
      <c r="D114">
        <v>0</v>
      </c>
      <c r="E114">
        <v>5</v>
      </c>
      <c r="F114" t="s">
        <v>206</v>
      </c>
      <c r="G114" s="1">
        <v>42060</v>
      </c>
      <c r="H114">
        <v>671</v>
      </c>
      <c r="I114" t="s">
        <v>333</v>
      </c>
      <c r="J114">
        <v>4</v>
      </c>
      <c r="K114">
        <v>111</v>
      </c>
      <c r="L114">
        <v>134</v>
      </c>
      <c r="M114">
        <v>74</v>
      </c>
      <c r="N114">
        <v>260</v>
      </c>
      <c r="O114" t="str">
        <f t="shared" si="2"/>
        <v>Q1 2015</v>
      </c>
      <c r="P114" s="1">
        <f t="shared" si="3"/>
        <v>42005</v>
      </c>
      <c r="Q114" t="s">
        <v>334</v>
      </c>
    </row>
    <row r="115" spans="1:17">
      <c r="A115" t="s">
        <v>335</v>
      </c>
      <c r="B115">
        <v>1349230</v>
      </c>
      <c r="C115" t="s">
        <v>72</v>
      </c>
      <c r="F115" t="s">
        <v>206</v>
      </c>
      <c r="G115" s="1">
        <v>44034</v>
      </c>
      <c r="H115">
        <v>8034</v>
      </c>
      <c r="I115" t="s">
        <v>336</v>
      </c>
      <c r="J115">
        <v>2</v>
      </c>
      <c r="K115">
        <v>11</v>
      </c>
      <c r="L115">
        <v>90</v>
      </c>
      <c r="M115">
        <v>1</v>
      </c>
      <c r="N115">
        <v>7620</v>
      </c>
      <c r="O115" t="str">
        <f t="shared" si="2"/>
        <v>Q3 2020</v>
      </c>
      <c r="P115" s="1">
        <f t="shared" si="3"/>
        <v>44013</v>
      </c>
      <c r="Q115" t="s">
        <v>337</v>
      </c>
    </row>
    <row r="116" spans="1:17">
      <c r="A116" t="s">
        <v>338</v>
      </c>
      <c r="B116">
        <v>6910</v>
      </c>
      <c r="C116" t="s">
        <v>72</v>
      </c>
      <c r="F116" t="s">
        <v>206</v>
      </c>
      <c r="G116" s="1">
        <v>36699</v>
      </c>
      <c r="H116">
        <v>13599</v>
      </c>
      <c r="I116" t="s">
        <v>44</v>
      </c>
      <c r="O116" t="str">
        <f t="shared" si="2"/>
        <v>Q2 2000</v>
      </c>
      <c r="P116" s="1">
        <f t="shared" si="3"/>
        <v>36617</v>
      </c>
      <c r="Q116" t="s">
        <v>339</v>
      </c>
    </row>
    <row r="117" spans="1:17">
      <c r="A117" t="s">
        <v>340</v>
      </c>
      <c r="B117">
        <v>698780</v>
      </c>
      <c r="C117" t="s">
        <v>72</v>
      </c>
      <c r="F117" t="s">
        <v>206</v>
      </c>
      <c r="G117" s="1">
        <v>43000</v>
      </c>
      <c r="H117">
        <v>223734</v>
      </c>
      <c r="I117" t="s">
        <v>341</v>
      </c>
      <c r="O117" t="str">
        <f t="shared" si="2"/>
        <v>Q3 2017</v>
      </c>
      <c r="P117" s="1">
        <f t="shared" si="3"/>
        <v>42917</v>
      </c>
      <c r="Q117" t="s">
        <v>342</v>
      </c>
    </row>
    <row r="118" spans="1:17">
      <c r="A118" t="s">
        <v>343</v>
      </c>
      <c r="B118">
        <v>219740</v>
      </c>
      <c r="C118" t="s">
        <v>72</v>
      </c>
      <c r="F118" t="s">
        <v>206</v>
      </c>
      <c r="G118" s="1">
        <v>41387</v>
      </c>
      <c r="H118">
        <v>96641</v>
      </c>
      <c r="I118" t="s">
        <v>256</v>
      </c>
      <c r="J118">
        <v>70</v>
      </c>
      <c r="K118">
        <v>45</v>
      </c>
      <c r="L118">
        <v>1718</v>
      </c>
      <c r="M118">
        <v>11</v>
      </c>
      <c r="N118">
        <v>10930</v>
      </c>
      <c r="O118" t="str">
        <f t="shared" si="2"/>
        <v>Q2 2013</v>
      </c>
      <c r="P118" s="1">
        <f t="shared" si="3"/>
        <v>41365</v>
      </c>
      <c r="Q118" t="s">
        <v>344</v>
      </c>
    </row>
    <row r="119" spans="1:17">
      <c r="A119" t="s">
        <v>345</v>
      </c>
      <c r="B119">
        <v>322330</v>
      </c>
      <c r="C119" t="s">
        <v>72</v>
      </c>
      <c r="F119" t="s">
        <v>206</v>
      </c>
      <c r="G119" s="1">
        <v>42481</v>
      </c>
      <c r="H119">
        <v>372459</v>
      </c>
      <c r="I119" t="s">
        <v>256</v>
      </c>
      <c r="J119">
        <v>71</v>
      </c>
      <c r="K119">
        <v>29</v>
      </c>
      <c r="L119">
        <v>2055</v>
      </c>
      <c r="M119">
        <v>9</v>
      </c>
      <c r="N119">
        <v>12529</v>
      </c>
      <c r="O119" t="str">
        <f t="shared" si="2"/>
        <v>Q2 2016</v>
      </c>
      <c r="P119" s="1">
        <f t="shared" si="3"/>
        <v>42461</v>
      </c>
      <c r="Q119" t="s">
        <v>346</v>
      </c>
    </row>
    <row r="120" spans="1:17">
      <c r="A120" t="s">
        <v>347</v>
      </c>
      <c r="B120">
        <v>38400</v>
      </c>
      <c r="C120" t="s">
        <v>72</v>
      </c>
      <c r="F120" t="s">
        <v>206</v>
      </c>
      <c r="G120" s="1">
        <v>35703</v>
      </c>
      <c r="H120">
        <v>16461</v>
      </c>
      <c r="I120" t="s">
        <v>101</v>
      </c>
      <c r="J120">
        <v>85</v>
      </c>
      <c r="K120">
        <v>276</v>
      </c>
      <c r="L120">
        <v>984</v>
      </c>
      <c r="M120">
        <v>123</v>
      </c>
      <c r="N120">
        <v>1928</v>
      </c>
      <c r="O120" t="str">
        <f t="shared" si="2"/>
        <v>Q3 1997</v>
      </c>
      <c r="P120" s="1">
        <f t="shared" si="3"/>
        <v>35612</v>
      </c>
      <c r="Q120" t="s">
        <v>348</v>
      </c>
    </row>
    <row r="121" spans="1:17">
      <c r="A121" t="s">
        <v>349</v>
      </c>
      <c r="B121">
        <v>1966720</v>
      </c>
      <c r="C121" t="s">
        <v>72</v>
      </c>
      <c r="F121" t="s">
        <v>206</v>
      </c>
      <c r="G121" s="1">
        <v>45222</v>
      </c>
      <c r="H121">
        <v>410566</v>
      </c>
      <c r="I121" t="s">
        <v>350</v>
      </c>
      <c r="J121">
        <v>128</v>
      </c>
      <c r="K121">
        <v>54</v>
      </c>
      <c r="L121">
        <v>617</v>
      </c>
      <c r="M121">
        <v>16</v>
      </c>
      <c r="N121">
        <v>2493</v>
      </c>
      <c r="O121" t="str">
        <f t="shared" si="2"/>
        <v>Q4 2023</v>
      </c>
      <c r="P121" s="1">
        <f t="shared" si="3"/>
        <v>45200</v>
      </c>
      <c r="Q121" t="s">
        <v>351</v>
      </c>
    </row>
    <row r="122" spans="1:17">
      <c r="A122" t="s">
        <v>352</v>
      </c>
      <c r="B122">
        <v>1281930</v>
      </c>
      <c r="C122" t="s">
        <v>72</v>
      </c>
      <c r="F122" t="s">
        <v>206</v>
      </c>
      <c r="G122" s="1">
        <v>43967</v>
      </c>
      <c r="H122">
        <v>374109</v>
      </c>
      <c r="I122" t="s">
        <v>213</v>
      </c>
      <c r="O122" t="str">
        <f t="shared" si="2"/>
        <v>Q2 2020</v>
      </c>
      <c r="P122" s="1">
        <f t="shared" si="3"/>
        <v>43922</v>
      </c>
      <c r="Q122" t="s">
        <v>353</v>
      </c>
    </row>
    <row r="123" spans="1:17">
      <c r="A123" t="s">
        <v>354</v>
      </c>
      <c r="B123">
        <v>391540</v>
      </c>
      <c r="C123" t="s">
        <v>72</v>
      </c>
      <c r="F123" t="s">
        <v>206</v>
      </c>
      <c r="G123" s="1">
        <v>42262</v>
      </c>
      <c r="H123">
        <v>296669</v>
      </c>
      <c r="I123" t="s">
        <v>355</v>
      </c>
      <c r="J123">
        <v>231</v>
      </c>
      <c r="K123">
        <v>2600</v>
      </c>
      <c r="L123">
        <v>432</v>
      </c>
      <c r="M123">
        <v>891</v>
      </c>
      <c r="N123">
        <v>1284</v>
      </c>
      <c r="O123" t="str">
        <f t="shared" si="2"/>
        <v>Q3 2015</v>
      </c>
      <c r="P123" s="1">
        <f t="shared" si="3"/>
        <v>42186</v>
      </c>
      <c r="Q123" t="s">
        <v>356</v>
      </c>
    </row>
    <row r="124" spans="1:17">
      <c r="A124" t="s">
        <v>357</v>
      </c>
      <c r="B124">
        <v>848930</v>
      </c>
      <c r="C124" t="s">
        <v>27</v>
      </c>
      <c r="D124">
        <v>0</v>
      </c>
      <c r="E124">
        <v>20</v>
      </c>
      <c r="F124" t="s">
        <v>358</v>
      </c>
      <c r="G124" s="1">
        <v>43307</v>
      </c>
      <c r="H124">
        <v>44</v>
      </c>
      <c r="I124" t="s">
        <v>359</v>
      </c>
      <c r="O124" t="str">
        <f t="shared" si="2"/>
        <v>Q3 2018</v>
      </c>
      <c r="P124" s="1">
        <f t="shared" si="3"/>
        <v>43282</v>
      </c>
      <c r="Q124" t="s">
        <v>360</v>
      </c>
    </row>
    <row r="125" spans="1:17">
      <c r="A125" t="s">
        <v>361</v>
      </c>
      <c r="B125">
        <v>698790</v>
      </c>
      <c r="C125" t="s">
        <v>27</v>
      </c>
      <c r="D125">
        <v>0</v>
      </c>
      <c r="E125">
        <v>18</v>
      </c>
      <c r="F125" t="s">
        <v>358</v>
      </c>
      <c r="G125" s="1">
        <v>43362</v>
      </c>
      <c r="H125">
        <v>30</v>
      </c>
      <c r="I125" t="s">
        <v>362</v>
      </c>
      <c r="J125">
        <v>162</v>
      </c>
      <c r="O125" t="str">
        <f t="shared" si="2"/>
        <v>Q3 2018</v>
      </c>
      <c r="P125" s="1">
        <f t="shared" si="3"/>
        <v>43282</v>
      </c>
      <c r="Q125" t="s">
        <v>363</v>
      </c>
    </row>
    <row r="126" spans="1:17">
      <c r="A126" t="s">
        <v>364</v>
      </c>
      <c r="B126">
        <v>2068520</v>
      </c>
      <c r="C126" t="s">
        <v>72</v>
      </c>
      <c r="F126" t="s">
        <v>358</v>
      </c>
      <c r="G126" s="1">
        <v>45414</v>
      </c>
      <c r="H126">
        <v>20</v>
      </c>
      <c r="I126" t="s">
        <v>365</v>
      </c>
      <c r="O126" t="str">
        <f t="shared" si="2"/>
        <v>Q2 2024</v>
      </c>
      <c r="P126" s="1">
        <f t="shared" si="3"/>
        <v>45383</v>
      </c>
      <c r="Q126" t="s">
        <v>366</v>
      </c>
    </row>
    <row r="127" spans="1:17">
      <c r="A127" t="s">
        <v>367</v>
      </c>
      <c r="B127">
        <v>231430</v>
      </c>
      <c r="C127" t="s">
        <v>27</v>
      </c>
      <c r="D127">
        <v>0</v>
      </c>
      <c r="E127">
        <v>452</v>
      </c>
      <c r="F127" t="s">
        <v>368</v>
      </c>
      <c r="G127" s="1">
        <v>41450</v>
      </c>
      <c r="H127">
        <v>68609</v>
      </c>
      <c r="I127" t="s">
        <v>369</v>
      </c>
      <c r="J127">
        <v>36</v>
      </c>
      <c r="K127">
        <v>105</v>
      </c>
      <c r="L127">
        <v>967</v>
      </c>
      <c r="M127">
        <v>8</v>
      </c>
      <c r="N127">
        <v>3781</v>
      </c>
      <c r="O127" t="str">
        <f t="shared" si="2"/>
        <v>Q2 2013</v>
      </c>
      <c r="P127" s="1">
        <f t="shared" si="3"/>
        <v>41365</v>
      </c>
      <c r="Q127" t="s">
        <v>370</v>
      </c>
    </row>
    <row r="128" spans="1:17">
      <c r="A128" t="s">
        <v>371</v>
      </c>
      <c r="B128">
        <v>236850</v>
      </c>
      <c r="C128" t="s">
        <v>27</v>
      </c>
      <c r="D128">
        <v>167</v>
      </c>
      <c r="E128">
        <v>373</v>
      </c>
      <c r="F128" t="s">
        <v>368</v>
      </c>
      <c r="G128" s="1">
        <v>41499</v>
      </c>
      <c r="H128">
        <v>93721</v>
      </c>
      <c r="I128" t="s">
        <v>75</v>
      </c>
      <c r="J128">
        <v>82</v>
      </c>
      <c r="K128">
        <v>61</v>
      </c>
      <c r="L128">
        <v>6560</v>
      </c>
      <c r="M128">
        <v>27</v>
      </c>
      <c r="N128">
        <v>111124</v>
      </c>
      <c r="O128" t="str">
        <f t="shared" si="2"/>
        <v>Q3 2013</v>
      </c>
      <c r="P128" s="1">
        <f t="shared" si="3"/>
        <v>41456</v>
      </c>
      <c r="Q128" t="s">
        <v>372</v>
      </c>
    </row>
    <row r="129" spans="1:17">
      <c r="A129" t="s">
        <v>373</v>
      </c>
      <c r="B129">
        <v>232090</v>
      </c>
      <c r="C129" t="s">
        <v>27</v>
      </c>
      <c r="D129">
        <v>0</v>
      </c>
      <c r="E129">
        <v>307</v>
      </c>
      <c r="F129" t="s">
        <v>368</v>
      </c>
      <c r="G129" s="1">
        <v>42692</v>
      </c>
      <c r="H129">
        <v>86877</v>
      </c>
      <c r="I129" t="s">
        <v>374</v>
      </c>
      <c r="J129">
        <v>124</v>
      </c>
      <c r="K129">
        <v>41</v>
      </c>
      <c r="L129">
        <v>1054</v>
      </c>
      <c r="M129">
        <v>42</v>
      </c>
      <c r="N129">
        <v>9574</v>
      </c>
      <c r="O129" t="str">
        <f t="shared" si="2"/>
        <v>Q4 2016</v>
      </c>
      <c r="P129" s="1">
        <f t="shared" si="3"/>
        <v>42644</v>
      </c>
      <c r="Q129" t="s">
        <v>375</v>
      </c>
    </row>
    <row r="130" spans="1:17">
      <c r="A130" t="s">
        <v>376</v>
      </c>
      <c r="B130">
        <v>394360</v>
      </c>
      <c r="C130" t="s">
        <v>27</v>
      </c>
      <c r="D130">
        <v>0</v>
      </c>
      <c r="E130">
        <v>293</v>
      </c>
      <c r="F130" t="s">
        <v>368</v>
      </c>
      <c r="G130" s="1">
        <v>42527</v>
      </c>
      <c r="H130">
        <v>270895</v>
      </c>
      <c r="I130" t="s">
        <v>75</v>
      </c>
      <c r="J130">
        <v>110</v>
      </c>
      <c r="K130">
        <v>53</v>
      </c>
      <c r="L130">
        <v>3215</v>
      </c>
      <c r="M130">
        <v>25</v>
      </c>
      <c r="N130">
        <v>79009</v>
      </c>
      <c r="O130" t="str">
        <f t="shared" ref="O130:O193" si="4">"Q"&amp;ROUNDUP(MONTH(G130)/3,0)&amp;" "&amp;YEAR(G130)</f>
        <v>Q2 2016</v>
      </c>
      <c r="P130" s="1">
        <f t="shared" ref="P130:P193" si="5">DATE(YEAR(G130),3*ROUNDUP(MONTH(G130)/3,0)-2,1)</f>
        <v>42461</v>
      </c>
      <c r="Q130" t="s">
        <v>377</v>
      </c>
    </row>
    <row r="131" spans="1:17">
      <c r="A131" t="s">
        <v>378</v>
      </c>
      <c r="B131">
        <v>573410</v>
      </c>
      <c r="C131" t="s">
        <v>27</v>
      </c>
      <c r="D131">
        <v>0</v>
      </c>
      <c r="E131">
        <v>255</v>
      </c>
      <c r="F131" t="s">
        <v>368</v>
      </c>
      <c r="G131" s="1">
        <v>43760</v>
      </c>
      <c r="H131">
        <v>1121</v>
      </c>
      <c r="I131" t="s">
        <v>379</v>
      </c>
      <c r="J131">
        <v>11</v>
      </c>
      <c r="K131">
        <v>5</v>
      </c>
      <c r="L131">
        <v>1285</v>
      </c>
      <c r="M131">
        <v>1</v>
      </c>
      <c r="N131">
        <v>30000</v>
      </c>
      <c r="O131" t="str">
        <f t="shared" si="4"/>
        <v>Q4 2019</v>
      </c>
      <c r="P131" s="1">
        <f t="shared" si="5"/>
        <v>43739</v>
      </c>
      <c r="Q131" t="s">
        <v>380</v>
      </c>
    </row>
    <row r="132" spans="1:17">
      <c r="A132" t="s">
        <v>381</v>
      </c>
      <c r="B132">
        <v>281990</v>
      </c>
      <c r="C132" t="s">
        <v>27</v>
      </c>
      <c r="D132">
        <v>0</v>
      </c>
      <c r="E132">
        <v>219</v>
      </c>
      <c r="F132" t="s">
        <v>368</v>
      </c>
      <c r="G132" s="1">
        <v>42499</v>
      </c>
      <c r="H132">
        <v>138751</v>
      </c>
      <c r="I132" t="s">
        <v>75</v>
      </c>
      <c r="J132">
        <v>198</v>
      </c>
      <c r="K132">
        <v>59</v>
      </c>
      <c r="L132">
        <v>2100</v>
      </c>
      <c r="M132">
        <v>16</v>
      </c>
      <c r="N132">
        <v>31708</v>
      </c>
      <c r="O132" t="str">
        <f t="shared" si="4"/>
        <v>Q2 2016</v>
      </c>
      <c r="P132" s="1">
        <f t="shared" si="5"/>
        <v>42461</v>
      </c>
      <c r="Q132" t="s">
        <v>382</v>
      </c>
    </row>
    <row r="133" spans="1:17">
      <c r="A133" t="s">
        <v>383</v>
      </c>
      <c r="B133">
        <v>563560</v>
      </c>
      <c r="C133" t="s">
        <v>27</v>
      </c>
      <c r="D133">
        <v>21</v>
      </c>
      <c r="E133">
        <v>198</v>
      </c>
      <c r="F133" t="s">
        <v>368</v>
      </c>
      <c r="G133" s="1">
        <v>42845</v>
      </c>
      <c r="H133">
        <v>23662</v>
      </c>
      <c r="I133" t="s">
        <v>384</v>
      </c>
      <c r="O133" t="str">
        <f t="shared" si="4"/>
        <v>Q2 2017</v>
      </c>
      <c r="P133" s="1">
        <f t="shared" si="5"/>
        <v>42826</v>
      </c>
      <c r="Q133" t="s">
        <v>385</v>
      </c>
    </row>
    <row r="134" spans="1:17">
      <c r="A134" t="s">
        <v>386</v>
      </c>
      <c r="B134">
        <v>230410</v>
      </c>
      <c r="C134" t="s">
        <v>27</v>
      </c>
      <c r="D134">
        <v>189</v>
      </c>
      <c r="E134">
        <v>193</v>
      </c>
      <c r="F134" t="s">
        <v>368</v>
      </c>
      <c r="G134" s="1">
        <v>41358</v>
      </c>
      <c r="H134">
        <v>669776</v>
      </c>
      <c r="I134" t="s">
        <v>387</v>
      </c>
      <c r="O134" t="str">
        <f t="shared" si="4"/>
        <v>Q1 2013</v>
      </c>
      <c r="P134" s="1">
        <f t="shared" si="5"/>
        <v>41275</v>
      </c>
      <c r="Q134" t="s">
        <v>388</v>
      </c>
    </row>
    <row r="135" spans="1:17">
      <c r="A135" t="s">
        <v>389</v>
      </c>
      <c r="B135">
        <v>1158310</v>
      </c>
      <c r="C135" t="s">
        <v>27</v>
      </c>
      <c r="D135">
        <v>0</v>
      </c>
      <c r="E135">
        <v>188</v>
      </c>
      <c r="F135" t="s">
        <v>368</v>
      </c>
      <c r="G135" s="1">
        <v>44075</v>
      </c>
      <c r="H135">
        <v>92964</v>
      </c>
      <c r="I135" t="s">
        <v>75</v>
      </c>
      <c r="J135">
        <v>39</v>
      </c>
      <c r="K135">
        <v>53</v>
      </c>
      <c r="L135">
        <v>4507</v>
      </c>
      <c r="M135">
        <v>9</v>
      </c>
      <c r="N135">
        <v>46384</v>
      </c>
      <c r="O135" t="str">
        <f t="shared" si="4"/>
        <v>Q3 2020</v>
      </c>
      <c r="P135" s="1">
        <f t="shared" si="5"/>
        <v>44013</v>
      </c>
      <c r="Q135" t="s">
        <v>390</v>
      </c>
    </row>
    <row r="136" spans="1:17">
      <c r="A136" t="s">
        <v>391</v>
      </c>
      <c r="B136">
        <v>203770</v>
      </c>
      <c r="C136" t="s">
        <v>27</v>
      </c>
      <c r="D136">
        <v>1</v>
      </c>
      <c r="E136">
        <v>161</v>
      </c>
      <c r="F136" t="s">
        <v>368</v>
      </c>
      <c r="G136" s="1">
        <v>40953</v>
      </c>
      <c r="H136">
        <v>73762</v>
      </c>
      <c r="I136" t="s">
        <v>75</v>
      </c>
      <c r="O136" t="str">
        <f t="shared" si="4"/>
        <v>Q1 2012</v>
      </c>
      <c r="P136" s="1">
        <f t="shared" si="5"/>
        <v>40909</v>
      </c>
      <c r="Q136" t="s">
        <v>392</v>
      </c>
    </row>
    <row r="137" spans="1:17">
      <c r="A137" t="s">
        <v>393</v>
      </c>
      <c r="B137">
        <v>863550</v>
      </c>
      <c r="C137" t="s">
        <v>27</v>
      </c>
      <c r="D137">
        <v>0</v>
      </c>
      <c r="E137">
        <v>146</v>
      </c>
      <c r="F137" t="s">
        <v>368</v>
      </c>
      <c r="G137" s="1">
        <v>43417</v>
      </c>
      <c r="H137">
        <v>74857</v>
      </c>
      <c r="I137" t="s">
        <v>394</v>
      </c>
      <c r="J137">
        <v>113</v>
      </c>
      <c r="K137">
        <v>622</v>
      </c>
      <c r="L137">
        <v>620</v>
      </c>
      <c r="M137">
        <v>71</v>
      </c>
      <c r="N137">
        <v>8034</v>
      </c>
      <c r="O137" t="str">
        <f t="shared" si="4"/>
        <v>Q4 2018</v>
      </c>
      <c r="P137" s="1">
        <f t="shared" si="5"/>
        <v>43374</v>
      </c>
      <c r="Q137" t="s">
        <v>395</v>
      </c>
    </row>
    <row r="138" spans="1:17">
      <c r="A138" t="s">
        <v>396</v>
      </c>
      <c r="B138">
        <v>262060</v>
      </c>
      <c r="C138" t="s">
        <v>27</v>
      </c>
      <c r="D138">
        <v>0</v>
      </c>
      <c r="E138">
        <v>120</v>
      </c>
      <c r="F138" t="s">
        <v>368</v>
      </c>
      <c r="G138" s="1">
        <v>42388</v>
      </c>
      <c r="H138">
        <v>139014</v>
      </c>
      <c r="I138" t="s">
        <v>397</v>
      </c>
      <c r="O138" t="str">
        <f t="shared" si="4"/>
        <v>Q1 2016</v>
      </c>
      <c r="P138" s="1">
        <f t="shared" si="5"/>
        <v>42370</v>
      </c>
      <c r="Q138" t="s">
        <v>398</v>
      </c>
    </row>
    <row r="139" spans="1:17">
      <c r="A139" t="s">
        <v>399</v>
      </c>
      <c r="B139">
        <v>34330</v>
      </c>
      <c r="C139" t="s">
        <v>27</v>
      </c>
      <c r="D139">
        <v>1</v>
      </c>
      <c r="E139">
        <v>106</v>
      </c>
      <c r="F139" t="s">
        <v>368</v>
      </c>
      <c r="H139">
        <v>37304</v>
      </c>
      <c r="I139" t="s">
        <v>243</v>
      </c>
      <c r="J139">
        <v>227</v>
      </c>
      <c r="K139">
        <v>87</v>
      </c>
      <c r="L139">
        <v>1798</v>
      </c>
      <c r="M139">
        <v>13</v>
      </c>
      <c r="N139">
        <v>12977</v>
      </c>
      <c r="O139" t="str">
        <f t="shared" si="4"/>
        <v>Q1 1900</v>
      </c>
      <c r="P139" s="1">
        <f t="shared" si="5"/>
        <v>1</v>
      </c>
      <c r="Q139" t="s">
        <v>400</v>
      </c>
    </row>
    <row r="140" spans="1:17">
      <c r="A140" t="s">
        <v>401</v>
      </c>
      <c r="B140">
        <v>900270</v>
      </c>
      <c r="C140" t="s">
        <v>27</v>
      </c>
      <c r="D140">
        <v>0</v>
      </c>
      <c r="E140">
        <v>101</v>
      </c>
      <c r="F140" t="s">
        <v>368</v>
      </c>
      <c r="G140" s="1">
        <v>43620</v>
      </c>
      <c r="H140">
        <v>8427</v>
      </c>
      <c r="I140" t="s">
        <v>402</v>
      </c>
      <c r="J140">
        <v>179</v>
      </c>
      <c r="K140">
        <v>44</v>
      </c>
      <c r="L140">
        <v>396</v>
      </c>
      <c r="M140">
        <v>155</v>
      </c>
      <c r="N140">
        <v>763</v>
      </c>
      <c r="O140" t="str">
        <f t="shared" si="4"/>
        <v>Q2 2019</v>
      </c>
      <c r="P140" s="1">
        <f t="shared" si="5"/>
        <v>43556</v>
      </c>
      <c r="Q140" t="s">
        <v>403</v>
      </c>
    </row>
    <row r="141" spans="1:17">
      <c r="A141" t="s">
        <v>404</v>
      </c>
      <c r="B141">
        <v>714010</v>
      </c>
      <c r="C141" t="s">
        <v>27</v>
      </c>
      <c r="D141">
        <v>2</v>
      </c>
      <c r="E141">
        <v>100</v>
      </c>
      <c r="F141" t="s">
        <v>368</v>
      </c>
      <c r="G141" s="1">
        <v>45093</v>
      </c>
      <c r="H141">
        <v>136034</v>
      </c>
      <c r="I141" t="s">
        <v>405</v>
      </c>
      <c r="O141" t="str">
        <f t="shared" si="4"/>
        <v>Q2 2023</v>
      </c>
      <c r="P141" s="1">
        <f t="shared" si="5"/>
        <v>45017</v>
      </c>
      <c r="Q141" t="s">
        <v>406</v>
      </c>
    </row>
    <row r="142" spans="1:17">
      <c r="A142" t="s">
        <v>407</v>
      </c>
      <c r="B142">
        <v>631510</v>
      </c>
      <c r="C142" t="s">
        <v>27</v>
      </c>
      <c r="D142">
        <v>0</v>
      </c>
      <c r="E142">
        <v>99</v>
      </c>
      <c r="F142" t="s">
        <v>368</v>
      </c>
      <c r="G142" s="1">
        <v>43172</v>
      </c>
      <c r="H142">
        <v>18353</v>
      </c>
      <c r="I142" t="s">
        <v>126</v>
      </c>
      <c r="J142">
        <v>66</v>
      </c>
      <c r="K142">
        <v>192</v>
      </c>
      <c r="L142">
        <v>1409</v>
      </c>
      <c r="M142">
        <v>27</v>
      </c>
      <c r="N142">
        <v>5277</v>
      </c>
      <c r="O142" t="str">
        <f t="shared" si="4"/>
        <v>Q1 2018</v>
      </c>
      <c r="P142" s="1">
        <f t="shared" si="5"/>
        <v>43101</v>
      </c>
      <c r="Q142" t="s">
        <v>408</v>
      </c>
    </row>
    <row r="143" spans="1:17">
      <c r="A143" t="s">
        <v>409</v>
      </c>
      <c r="B143">
        <v>456670</v>
      </c>
      <c r="C143" t="s">
        <v>27</v>
      </c>
      <c r="D143">
        <v>0</v>
      </c>
      <c r="E143">
        <v>99</v>
      </c>
      <c r="F143" t="s">
        <v>368</v>
      </c>
      <c r="G143" s="1">
        <v>43046</v>
      </c>
      <c r="H143">
        <v>5253</v>
      </c>
      <c r="I143" t="s">
        <v>410</v>
      </c>
      <c r="J143">
        <v>109</v>
      </c>
      <c r="K143">
        <v>27</v>
      </c>
      <c r="L143">
        <v>1364</v>
      </c>
      <c r="M143">
        <v>11</v>
      </c>
      <c r="N143">
        <v>6690</v>
      </c>
      <c r="O143" t="str">
        <f t="shared" si="4"/>
        <v>Q4 2017</v>
      </c>
      <c r="P143" s="1">
        <f t="shared" si="5"/>
        <v>43009</v>
      </c>
      <c r="Q143" t="s">
        <v>411</v>
      </c>
    </row>
    <row r="144" spans="1:17">
      <c r="A144" t="s">
        <v>412</v>
      </c>
      <c r="B144">
        <v>613100</v>
      </c>
      <c r="C144" t="s">
        <v>27</v>
      </c>
      <c r="D144">
        <v>0</v>
      </c>
      <c r="E144">
        <v>96</v>
      </c>
      <c r="F144" t="s">
        <v>368</v>
      </c>
      <c r="G144" s="1">
        <v>43237</v>
      </c>
      <c r="H144">
        <v>91975</v>
      </c>
      <c r="I144" t="s">
        <v>413</v>
      </c>
      <c r="J144">
        <v>118</v>
      </c>
      <c r="K144">
        <v>138</v>
      </c>
      <c r="L144">
        <v>807</v>
      </c>
      <c r="M144">
        <v>109</v>
      </c>
      <c r="N144">
        <v>3471</v>
      </c>
      <c r="O144" t="str">
        <f t="shared" si="4"/>
        <v>Q2 2018</v>
      </c>
      <c r="P144" s="1">
        <f t="shared" si="5"/>
        <v>43191</v>
      </c>
      <c r="Q144" t="s">
        <v>414</v>
      </c>
    </row>
    <row r="145" spans="1:17">
      <c r="A145" t="s">
        <v>415</v>
      </c>
      <c r="B145">
        <v>42910</v>
      </c>
      <c r="C145" t="s">
        <v>27</v>
      </c>
      <c r="D145">
        <v>0</v>
      </c>
      <c r="E145">
        <v>88</v>
      </c>
      <c r="F145" t="s">
        <v>368</v>
      </c>
      <c r="G145" s="1">
        <v>40568</v>
      </c>
      <c r="H145">
        <v>19103</v>
      </c>
      <c r="I145" t="s">
        <v>75</v>
      </c>
      <c r="J145">
        <v>133</v>
      </c>
      <c r="K145">
        <v>252</v>
      </c>
      <c r="L145">
        <v>648</v>
      </c>
      <c r="M145">
        <v>24</v>
      </c>
      <c r="N145">
        <v>2925</v>
      </c>
      <c r="O145" t="str">
        <f t="shared" si="4"/>
        <v>Q1 2011</v>
      </c>
      <c r="P145" s="1">
        <f t="shared" si="5"/>
        <v>40544</v>
      </c>
      <c r="Q145" t="s">
        <v>416</v>
      </c>
    </row>
    <row r="146" spans="1:17">
      <c r="A146" t="s">
        <v>417</v>
      </c>
      <c r="B146">
        <v>200510</v>
      </c>
      <c r="C146" t="s">
        <v>27</v>
      </c>
      <c r="D146">
        <v>0</v>
      </c>
      <c r="E146">
        <v>85</v>
      </c>
      <c r="F146" t="s">
        <v>368</v>
      </c>
      <c r="G146" s="1">
        <v>41193</v>
      </c>
      <c r="H146">
        <v>40115</v>
      </c>
      <c r="I146" t="s">
        <v>116</v>
      </c>
      <c r="J146">
        <v>242</v>
      </c>
      <c r="K146">
        <v>629</v>
      </c>
      <c r="L146">
        <v>1642</v>
      </c>
      <c r="M146">
        <v>100</v>
      </c>
      <c r="N146">
        <v>4838</v>
      </c>
      <c r="O146" t="str">
        <f t="shared" si="4"/>
        <v>Q4 2012</v>
      </c>
      <c r="P146" s="1">
        <f t="shared" si="5"/>
        <v>41183</v>
      </c>
      <c r="Q146" t="s">
        <v>418</v>
      </c>
    </row>
    <row r="147" spans="1:17">
      <c r="A147" t="s">
        <v>419</v>
      </c>
      <c r="B147">
        <v>8870</v>
      </c>
      <c r="C147" t="s">
        <v>27</v>
      </c>
      <c r="D147">
        <v>0</v>
      </c>
      <c r="E147">
        <v>80</v>
      </c>
      <c r="F147" t="s">
        <v>368</v>
      </c>
      <c r="G147" s="1">
        <v>41358</v>
      </c>
      <c r="H147">
        <v>109102</v>
      </c>
      <c r="I147" t="s">
        <v>116</v>
      </c>
      <c r="J147">
        <v>27</v>
      </c>
      <c r="K147">
        <v>4400</v>
      </c>
      <c r="L147">
        <v>704</v>
      </c>
      <c r="M147">
        <v>498</v>
      </c>
      <c r="N147">
        <v>1868</v>
      </c>
      <c r="O147" t="str">
        <f t="shared" si="4"/>
        <v>Q1 2013</v>
      </c>
      <c r="P147" s="1">
        <f t="shared" si="5"/>
        <v>41275</v>
      </c>
      <c r="Q147" t="s">
        <v>420</v>
      </c>
    </row>
    <row r="148" spans="1:17">
      <c r="A148" t="s">
        <v>421</v>
      </c>
      <c r="B148">
        <v>49520</v>
      </c>
      <c r="C148" t="s">
        <v>27</v>
      </c>
      <c r="D148">
        <v>8</v>
      </c>
      <c r="E148">
        <v>75</v>
      </c>
      <c r="F148" t="s">
        <v>368</v>
      </c>
      <c r="G148" s="1">
        <v>41172</v>
      </c>
      <c r="H148">
        <v>209910</v>
      </c>
      <c r="I148" t="s">
        <v>116</v>
      </c>
      <c r="J148">
        <v>31</v>
      </c>
      <c r="K148">
        <v>1200</v>
      </c>
      <c r="L148">
        <v>1811</v>
      </c>
      <c r="M148">
        <v>457</v>
      </c>
      <c r="N148">
        <v>8388</v>
      </c>
      <c r="O148" t="str">
        <f t="shared" si="4"/>
        <v>Q3 2012</v>
      </c>
      <c r="P148" s="1">
        <f t="shared" si="5"/>
        <v>41091</v>
      </c>
      <c r="Q148" t="s">
        <v>422</v>
      </c>
    </row>
    <row r="149" spans="1:17">
      <c r="A149" t="s">
        <v>423</v>
      </c>
      <c r="B149">
        <v>252610</v>
      </c>
      <c r="C149" t="s">
        <v>27</v>
      </c>
      <c r="D149">
        <v>0</v>
      </c>
      <c r="E149">
        <v>72</v>
      </c>
      <c r="F149" t="s">
        <v>368</v>
      </c>
      <c r="G149" s="1">
        <v>42572</v>
      </c>
      <c r="H149">
        <v>8940</v>
      </c>
      <c r="I149" t="s">
        <v>424</v>
      </c>
      <c r="J149">
        <v>54</v>
      </c>
      <c r="K149">
        <v>49</v>
      </c>
      <c r="L149">
        <v>393</v>
      </c>
      <c r="M149">
        <v>3</v>
      </c>
      <c r="N149">
        <v>14660</v>
      </c>
      <c r="O149" t="str">
        <f t="shared" si="4"/>
        <v>Q3 2016</v>
      </c>
      <c r="P149" s="1">
        <f t="shared" si="5"/>
        <v>42552</v>
      </c>
      <c r="Q149" t="s">
        <v>425</v>
      </c>
    </row>
    <row r="150" spans="1:17">
      <c r="A150" t="s">
        <v>426</v>
      </c>
      <c r="B150">
        <v>268130</v>
      </c>
      <c r="C150" t="s">
        <v>27</v>
      </c>
      <c r="D150">
        <v>0</v>
      </c>
      <c r="E150">
        <v>70</v>
      </c>
      <c r="F150" t="s">
        <v>368</v>
      </c>
      <c r="G150" s="1">
        <v>42999</v>
      </c>
      <c r="H150">
        <v>6826</v>
      </c>
      <c r="I150" t="s">
        <v>427</v>
      </c>
      <c r="J150">
        <v>111</v>
      </c>
      <c r="K150">
        <v>13</v>
      </c>
      <c r="L150">
        <v>872</v>
      </c>
      <c r="M150">
        <v>13</v>
      </c>
      <c r="N150">
        <v>2273</v>
      </c>
      <c r="O150" t="str">
        <f t="shared" si="4"/>
        <v>Q3 2017</v>
      </c>
      <c r="P150" s="1">
        <f t="shared" si="5"/>
        <v>42917</v>
      </c>
      <c r="Q150" t="s">
        <v>428</v>
      </c>
    </row>
    <row r="151" spans="1:17">
      <c r="A151" t="s">
        <v>429</v>
      </c>
      <c r="B151">
        <v>590380</v>
      </c>
      <c r="C151" t="s">
        <v>27</v>
      </c>
      <c r="D151">
        <v>0</v>
      </c>
      <c r="E151">
        <v>70</v>
      </c>
      <c r="F151" t="s">
        <v>368</v>
      </c>
      <c r="G151" s="1">
        <v>43158</v>
      </c>
      <c r="H151">
        <v>18736</v>
      </c>
      <c r="I151" t="s">
        <v>253</v>
      </c>
      <c r="J151">
        <v>120</v>
      </c>
      <c r="K151">
        <v>429</v>
      </c>
      <c r="L151">
        <v>370</v>
      </c>
      <c r="M151">
        <v>117</v>
      </c>
      <c r="N151">
        <v>3346</v>
      </c>
      <c r="O151" t="str">
        <f t="shared" si="4"/>
        <v>Q1 2018</v>
      </c>
      <c r="P151" s="1">
        <f t="shared" si="5"/>
        <v>43101</v>
      </c>
      <c r="Q151" t="s">
        <v>430</v>
      </c>
    </row>
    <row r="152" spans="1:17">
      <c r="A152" t="s">
        <v>431</v>
      </c>
      <c r="B152">
        <v>57690</v>
      </c>
      <c r="C152" t="s">
        <v>27</v>
      </c>
      <c r="D152">
        <v>0</v>
      </c>
      <c r="E152">
        <v>70</v>
      </c>
      <c r="F152" t="s">
        <v>368</v>
      </c>
      <c r="G152" s="1">
        <v>40787</v>
      </c>
      <c r="H152">
        <v>8187</v>
      </c>
      <c r="I152" t="s">
        <v>432</v>
      </c>
      <c r="J152">
        <v>229</v>
      </c>
      <c r="K152">
        <v>67</v>
      </c>
      <c r="L152">
        <v>2458</v>
      </c>
      <c r="M152">
        <v>42</v>
      </c>
      <c r="N152">
        <v>6619</v>
      </c>
      <c r="O152" t="str">
        <f t="shared" si="4"/>
        <v>Q3 2011</v>
      </c>
      <c r="P152" s="1">
        <f t="shared" si="5"/>
        <v>40725</v>
      </c>
      <c r="Q152" t="s">
        <v>433</v>
      </c>
    </row>
    <row r="153" spans="1:17">
      <c r="A153" t="s">
        <v>434</v>
      </c>
      <c r="B153">
        <v>8850</v>
      </c>
      <c r="C153" t="s">
        <v>27</v>
      </c>
      <c r="D153">
        <v>0</v>
      </c>
      <c r="E153">
        <v>68</v>
      </c>
      <c r="F153" t="s">
        <v>368</v>
      </c>
      <c r="G153" s="1">
        <v>40218</v>
      </c>
      <c r="H153">
        <v>11402</v>
      </c>
      <c r="I153" t="s">
        <v>116</v>
      </c>
      <c r="J153">
        <v>25</v>
      </c>
      <c r="K153">
        <v>1800</v>
      </c>
      <c r="L153">
        <v>642</v>
      </c>
      <c r="M153">
        <v>361</v>
      </c>
      <c r="N153">
        <v>1526</v>
      </c>
      <c r="O153" t="str">
        <f t="shared" si="4"/>
        <v>Q1 2010</v>
      </c>
      <c r="P153" s="1">
        <f t="shared" si="5"/>
        <v>40179</v>
      </c>
      <c r="Q153" t="s">
        <v>435</v>
      </c>
    </row>
    <row r="154" spans="1:17">
      <c r="A154" t="s">
        <v>436</v>
      </c>
      <c r="B154">
        <v>409710</v>
      </c>
      <c r="C154" t="s">
        <v>27</v>
      </c>
      <c r="D154">
        <v>0</v>
      </c>
      <c r="E154">
        <v>65</v>
      </c>
      <c r="F154" t="s">
        <v>368</v>
      </c>
      <c r="G154" s="1">
        <v>42628</v>
      </c>
      <c r="H154">
        <v>51664</v>
      </c>
      <c r="I154" t="s">
        <v>116</v>
      </c>
      <c r="J154">
        <v>28</v>
      </c>
      <c r="K154">
        <v>3700</v>
      </c>
      <c r="L154">
        <v>733</v>
      </c>
      <c r="M154">
        <v>805</v>
      </c>
      <c r="N154">
        <v>1456</v>
      </c>
      <c r="O154" t="str">
        <f t="shared" si="4"/>
        <v>Q3 2016</v>
      </c>
      <c r="P154" s="1">
        <f t="shared" si="5"/>
        <v>42552</v>
      </c>
      <c r="Q154" t="s">
        <v>437</v>
      </c>
    </row>
    <row r="155" spans="1:17">
      <c r="A155" t="s">
        <v>438</v>
      </c>
      <c r="B155">
        <v>242050</v>
      </c>
      <c r="C155" t="s">
        <v>27</v>
      </c>
      <c r="D155">
        <v>0</v>
      </c>
      <c r="E155">
        <v>60</v>
      </c>
      <c r="F155" t="s">
        <v>368</v>
      </c>
      <c r="H155">
        <v>71704</v>
      </c>
      <c r="I155" t="s">
        <v>439</v>
      </c>
      <c r="J155">
        <v>18</v>
      </c>
      <c r="K155">
        <v>1300</v>
      </c>
      <c r="L155">
        <v>1430</v>
      </c>
      <c r="M155">
        <v>948</v>
      </c>
      <c r="N155">
        <v>3832</v>
      </c>
      <c r="O155" t="str">
        <f t="shared" si="4"/>
        <v>Q1 1900</v>
      </c>
      <c r="P155" s="1">
        <f t="shared" si="5"/>
        <v>1</v>
      </c>
      <c r="Q155" t="s">
        <v>440</v>
      </c>
    </row>
    <row r="156" spans="1:17">
      <c r="A156" t="s">
        <v>441</v>
      </c>
      <c r="B156">
        <v>209000</v>
      </c>
      <c r="C156" t="s">
        <v>27</v>
      </c>
      <c r="D156">
        <v>0</v>
      </c>
      <c r="E156">
        <v>60</v>
      </c>
      <c r="F156" t="s">
        <v>368</v>
      </c>
      <c r="G156" s="1">
        <v>41571</v>
      </c>
      <c r="H156">
        <v>44821</v>
      </c>
      <c r="I156" t="s">
        <v>442</v>
      </c>
      <c r="J156">
        <v>21</v>
      </c>
      <c r="K156">
        <v>1300</v>
      </c>
      <c r="L156">
        <v>769</v>
      </c>
      <c r="M156">
        <v>221</v>
      </c>
      <c r="N156">
        <v>2601</v>
      </c>
      <c r="O156" t="str">
        <f t="shared" si="4"/>
        <v>Q4 2013</v>
      </c>
      <c r="P156" s="1">
        <f t="shared" si="5"/>
        <v>41548</v>
      </c>
      <c r="Q156" t="s">
        <v>443</v>
      </c>
    </row>
    <row r="157" spans="1:17">
      <c r="A157" t="s">
        <v>444</v>
      </c>
      <c r="B157">
        <v>238010</v>
      </c>
      <c r="C157" t="s">
        <v>27</v>
      </c>
      <c r="D157">
        <v>0</v>
      </c>
      <c r="E157">
        <v>59</v>
      </c>
      <c r="F157" t="s">
        <v>368</v>
      </c>
      <c r="G157" s="1">
        <v>41572</v>
      </c>
      <c r="H157">
        <v>25166</v>
      </c>
      <c r="I157" t="s">
        <v>44</v>
      </c>
      <c r="J157">
        <v>60</v>
      </c>
      <c r="K157">
        <v>350</v>
      </c>
      <c r="L157">
        <v>1413</v>
      </c>
      <c r="M157">
        <v>258</v>
      </c>
      <c r="N157">
        <v>2900</v>
      </c>
      <c r="O157" t="str">
        <f t="shared" si="4"/>
        <v>Q4 2013</v>
      </c>
      <c r="P157" s="1">
        <f t="shared" si="5"/>
        <v>41548</v>
      </c>
      <c r="Q157" t="s">
        <v>445</v>
      </c>
    </row>
    <row r="158" spans="1:17">
      <c r="A158" t="s">
        <v>446</v>
      </c>
      <c r="B158">
        <v>367500</v>
      </c>
      <c r="C158" t="s">
        <v>27</v>
      </c>
      <c r="D158">
        <v>0</v>
      </c>
      <c r="E158">
        <v>59</v>
      </c>
      <c r="F158" t="s">
        <v>368</v>
      </c>
      <c r="G158" s="1">
        <v>42384</v>
      </c>
      <c r="H158">
        <v>37198</v>
      </c>
      <c r="I158" t="s">
        <v>32</v>
      </c>
      <c r="J158">
        <v>73</v>
      </c>
      <c r="K158">
        <v>387</v>
      </c>
      <c r="L158">
        <v>1993</v>
      </c>
      <c r="M158">
        <v>156</v>
      </c>
      <c r="N158">
        <v>7175</v>
      </c>
      <c r="O158" t="str">
        <f t="shared" si="4"/>
        <v>Q1 2016</v>
      </c>
      <c r="P158" s="1">
        <f t="shared" si="5"/>
        <v>42370</v>
      </c>
      <c r="Q158" t="s">
        <v>447</v>
      </c>
    </row>
    <row r="159" spans="1:17">
      <c r="A159" t="s">
        <v>448</v>
      </c>
      <c r="B159">
        <v>444090</v>
      </c>
      <c r="C159" t="s">
        <v>27</v>
      </c>
      <c r="D159">
        <v>17</v>
      </c>
      <c r="E159">
        <v>58</v>
      </c>
      <c r="F159" t="s">
        <v>368</v>
      </c>
      <c r="G159" s="1">
        <v>43228</v>
      </c>
      <c r="H159">
        <v>345423</v>
      </c>
      <c r="I159" t="s">
        <v>449</v>
      </c>
      <c r="O159" t="str">
        <f t="shared" si="4"/>
        <v>Q2 2018</v>
      </c>
      <c r="P159" s="1">
        <f t="shared" si="5"/>
        <v>43191</v>
      </c>
      <c r="Q159" t="s">
        <v>450</v>
      </c>
    </row>
    <row r="160" spans="1:17">
      <c r="A160" t="s">
        <v>451</v>
      </c>
      <c r="B160">
        <v>346010</v>
      </c>
      <c r="C160" t="s">
        <v>27</v>
      </c>
      <c r="D160">
        <v>2</v>
      </c>
      <c r="E160">
        <v>54</v>
      </c>
      <c r="F160" t="s">
        <v>368</v>
      </c>
      <c r="G160" s="1">
        <v>43879</v>
      </c>
      <c r="H160">
        <v>47742</v>
      </c>
      <c r="I160" t="s">
        <v>452</v>
      </c>
      <c r="J160">
        <v>23</v>
      </c>
      <c r="K160">
        <v>45</v>
      </c>
      <c r="L160">
        <v>369</v>
      </c>
      <c r="M160">
        <v>14</v>
      </c>
      <c r="N160">
        <v>1249</v>
      </c>
      <c r="O160" t="str">
        <f t="shared" si="4"/>
        <v>Q1 2020</v>
      </c>
      <c r="P160" s="1">
        <f t="shared" si="5"/>
        <v>43831</v>
      </c>
      <c r="Q160" t="s">
        <v>453</v>
      </c>
    </row>
    <row r="161" spans="1:17">
      <c r="A161" t="s">
        <v>454</v>
      </c>
      <c r="B161">
        <v>460960</v>
      </c>
      <c r="C161" t="s">
        <v>27</v>
      </c>
      <c r="D161">
        <v>0</v>
      </c>
      <c r="E161">
        <v>53</v>
      </c>
      <c r="F161" t="s">
        <v>368</v>
      </c>
      <c r="G161" s="1">
        <v>42500</v>
      </c>
      <c r="H161">
        <v>529</v>
      </c>
      <c r="I161" t="s">
        <v>455</v>
      </c>
      <c r="J161">
        <v>211</v>
      </c>
      <c r="K161">
        <v>3</v>
      </c>
      <c r="L161">
        <v>310</v>
      </c>
      <c r="M161">
        <v>10</v>
      </c>
      <c r="N161">
        <v>863</v>
      </c>
      <c r="O161" t="str">
        <f t="shared" si="4"/>
        <v>Q2 2016</v>
      </c>
      <c r="P161" s="1">
        <f t="shared" si="5"/>
        <v>42461</v>
      </c>
      <c r="Q161" t="s">
        <v>456</v>
      </c>
    </row>
    <row r="162" spans="1:17">
      <c r="A162" t="s">
        <v>457</v>
      </c>
      <c r="B162">
        <v>462770</v>
      </c>
      <c r="C162" t="s">
        <v>27</v>
      </c>
      <c r="D162">
        <v>0</v>
      </c>
      <c r="E162">
        <v>51</v>
      </c>
      <c r="F162" t="s">
        <v>368</v>
      </c>
      <c r="G162" s="1">
        <v>42941</v>
      </c>
      <c r="H162">
        <v>8370</v>
      </c>
      <c r="I162" t="s">
        <v>261</v>
      </c>
      <c r="J162">
        <v>170</v>
      </c>
      <c r="K162">
        <v>303</v>
      </c>
      <c r="L162">
        <v>682</v>
      </c>
      <c r="M162">
        <v>93</v>
      </c>
      <c r="N162">
        <v>1317</v>
      </c>
      <c r="O162" t="str">
        <f t="shared" si="4"/>
        <v>Q3 2017</v>
      </c>
      <c r="P162" s="1">
        <f t="shared" si="5"/>
        <v>42917</v>
      </c>
      <c r="Q162" t="s">
        <v>458</v>
      </c>
    </row>
    <row r="163" spans="1:17">
      <c r="A163" t="s">
        <v>459</v>
      </c>
      <c r="B163">
        <v>403640</v>
      </c>
      <c r="C163" t="s">
        <v>27</v>
      </c>
      <c r="D163">
        <v>0</v>
      </c>
      <c r="E163">
        <v>50</v>
      </c>
      <c r="F163" t="s">
        <v>368</v>
      </c>
      <c r="G163" s="1">
        <v>42685</v>
      </c>
      <c r="H163">
        <v>42433</v>
      </c>
      <c r="I163" t="s">
        <v>101</v>
      </c>
      <c r="J163">
        <v>69</v>
      </c>
      <c r="K163">
        <v>1000</v>
      </c>
      <c r="L163">
        <v>777</v>
      </c>
      <c r="M163">
        <v>349</v>
      </c>
      <c r="N163">
        <v>2845</v>
      </c>
      <c r="O163" t="str">
        <f t="shared" si="4"/>
        <v>Q4 2016</v>
      </c>
      <c r="P163" s="1">
        <f t="shared" si="5"/>
        <v>42644</v>
      </c>
      <c r="Q163" t="s">
        <v>460</v>
      </c>
    </row>
    <row r="164" spans="1:17">
      <c r="A164" t="s">
        <v>461</v>
      </c>
      <c r="B164">
        <v>742300</v>
      </c>
      <c r="C164" t="s">
        <v>27</v>
      </c>
      <c r="D164">
        <v>0</v>
      </c>
      <c r="E164">
        <v>50</v>
      </c>
      <c r="F164" t="s">
        <v>368</v>
      </c>
      <c r="G164" s="1">
        <v>43375</v>
      </c>
      <c r="H164">
        <v>4183</v>
      </c>
      <c r="I164" t="s">
        <v>462</v>
      </c>
      <c r="J164">
        <v>137</v>
      </c>
      <c r="K164">
        <v>384</v>
      </c>
      <c r="L164">
        <v>296</v>
      </c>
      <c r="M164">
        <v>24</v>
      </c>
      <c r="N164">
        <v>1183</v>
      </c>
      <c r="O164" t="str">
        <f t="shared" si="4"/>
        <v>Q4 2018</v>
      </c>
      <c r="P164" s="1">
        <f t="shared" si="5"/>
        <v>43374</v>
      </c>
      <c r="Q164" t="s">
        <v>463</v>
      </c>
    </row>
    <row r="165" spans="1:17">
      <c r="A165" t="s">
        <v>464</v>
      </c>
      <c r="B165">
        <v>502500</v>
      </c>
      <c r="C165" t="s">
        <v>27</v>
      </c>
      <c r="D165">
        <v>0</v>
      </c>
      <c r="E165">
        <v>49</v>
      </c>
      <c r="F165" t="s">
        <v>368</v>
      </c>
      <c r="G165" s="1">
        <v>43496</v>
      </c>
      <c r="H165">
        <v>45498</v>
      </c>
      <c r="I165" t="s">
        <v>465</v>
      </c>
      <c r="J165">
        <v>7</v>
      </c>
      <c r="K165">
        <v>501</v>
      </c>
      <c r="L165">
        <v>748</v>
      </c>
      <c r="M165">
        <v>29</v>
      </c>
      <c r="N165">
        <v>4374</v>
      </c>
      <c r="O165" t="str">
        <f t="shared" si="4"/>
        <v>Q1 2019</v>
      </c>
      <c r="P165" s="1">
        <f t="shared" si="5"/>
        <v>43466</v>
      </c>
      <c r="Q165" t="s">
        <v>466</v>
      </c>
    </row>
    <row r="166" spans="1:17">
      <c r="A166" t="s">
        <v>467</v>
      </c>
      <c r="B166">
        <v>286690</v>
      </c>
      <c r="C166" t="s">
        <v>27</v>
      </c>
      <c r="D166">
        <v>0</v>
      </c>
      <c r="E166">
        <v>49</v>
      </c>
      <c r="F166" t="s">
        <v>368</v>
      </c>
      <c r="G166" s="1">
        <v>41878</v>
      </c>
      <c r="H166">
        <v>92703</v>
      </c>
      <c r="I166" t="s">
        <v>41</v>
      </c>
      <c r="J166">
        <v>142</v>
      </c>
      <c r="K166">
        <v>2200</v>
      </c>
      <c r="L166">
        <v>546</v>
      </c>
      <c r="M166">
        <v>305</v>
      </c>
      <c r="N166">
        <v>1468</v>
      </c>
      <c r="O166" t="str">
        <f t="shared" si="4"/>
        <v>Q3 2014</v>
      </c>
      <c r="P166" s="1">
        <f t="shared" si="5"/>
        <v>41821</v>
      </c>
      <c r="Q166" t="s">
        <v>468</v>
      </c>
    </row>
    <row r="167" spans="1:17">
      <c r="A167" t="s">
        <v>469</v>
      </c>
      <c r="B167">
        <v>287390</v>
      </c>
      <c r="C167" t="s">
        <v>27</v>
      </c>
      <c r="D167">
        <v>0</v>
      </c>
      <c r="E167">
        <v>49</v>
      </c>
      <c r="F167" t="s">
        <v>368</v>
      </c>
      <c r="G167" s="1">
        <v>41878</v>
      </c>
      <c r="H167">
        <v>69749</v>
      </c>
      <c r="I167" t="s">
        <v>41</v>
      </c>
      <c r="J167">
        <v>143</v>
      </c>
      <c r="K167">
        <v>1500</v>
      </c>
      <c r="L167">
        <v>593</v>
      </c>
      <c r="M167">
        <v>222</v>
      </c>
      <c r="N167">
        <v>1703</v>
      </c>
      <c r="O167" t="str">
        <f t="shared" si="4"/>
        <v>Q3 2014</v>
      </c>
      <c r="P167" s="1">
        <f t="shared" si="5"/>
        <v>41821</v>
      </c>
      <c r="Q167" t="s">
        <v>470</v>
      </c>
    </row>
    <row r="168" spans="1:17">
      <c r="A168" t="s">
        <v>471</v>
      </c>
      <c r="B168">
        <v>2881650</v>
      </c>
      <c r="C168" t="s">
        <v>27</v>
      </c>
      <c r="D168">
        <v>0</v>
      </c>
      <c r="E168">
        <v>48</v>
      </c>
      <c r="F168" t="s">
        <v>368</v>
      </c>
      <c r="G168" s="1">
        <v>45383</v>
      </c>
      <c r="H168">
        <v>70356</v>
      </c>
      <c r="I168" t="s">
        <v>472</v>
      </c>
      <c r="J168">
        <v>37</v>
      </c>
      <c r="O168" t="str">
        <f t="shared" si="4"/>
        <v>Q2 2024</v>
      </c>
      <c r="P168" s="1">
        <f t="shared" si="5"/>
        <v>45383</v>
      </c>
      <c r="Q168" t="s">
        <v>473</v>
      </c>
    </row>
    <row r="169" spans="1:17">
      <c r="A169" t="s">
        <v>474</v>
      </c>
      <c r="B169">
        <v>764790</v>
      </c>
      <c r="C169" t="s">
        <v>27</v>
      </c>
      <c r="D169">
        <v>0</v>
      </c>
      <c r="E169">
        <v>48</v>
      </c>
      <c r="F169" t="s">
        <v>368</v>
      </c>
      <c r="G169" s="1">
        <v>43342</v>
      </c>
      <c r="H169">
        <v>10549</v>
      </c>
      <c r="I169" t="s">
        <v>47</v>
      </c>
      <c r="J169">
        <v>215</v>
      </c>
      <c r="K169">
        <v>486</v>
      </c>
      <c r="L169">
        <v>725</v>
      </c>
      <c r="M169">
        <v>653</v>
      </c>
      <c r="N169">
        <v>1009</v>
      </c>
      <c r="O169" t="str">
        <f t="shared" si="4"/>
        <v>Q3 2018</v>
      </c>
      <c r="P169" s="1">
        <f t="shared" si="5"/>
        <v>43282</v>
      </c>
      <c r="Q169" t="s">
        <v>475</v>
      </c>
    </row>
    <row r="170" spans="1:17">
      <c r="A170" t="s">
        <v>476</v>
      </c>
      <c r="B170">
        <v>359550</v>
      </c>
      <c r="C170" t="s">
        <v>27</v>
      </c>
      <c r="D170">
        <v>0</v>
      </c>
      <c r="E170">
        <v>48</v>
      </c>
      <c r="F170" t="s">
        <v>368</v>
      </c>
      <c r="G170" s="1">
        <v>42339</v>
      </c>
      <c r="H170">
        <v>1530738</v>
      </c>
      <c r="I170" t="s">
        <v>439</v>
      </c>
      <c r="J170">
        <v>226</v>
      </c>
      <c r="K170">
        <v>108</v>
      </c>
      <c r="L170">
        <v>218</v>
      </c>
      <c r="M170">
        <v>79</v>
      </c>
      <c r="N170">
        <v>17298</v>
      </c>
      <c r="O170" t="str">
        <f t="shared" si="4"/>
        <v>Q4 2015</v>
      </c>
      <c r="P170" s="1">
        <f t="shared" si="5"/>
        <v>42278</v>
      </c>
      <c r="Q170" t="s">
        <v>477</v>
      </c>
    </row>
    <row r="171" spans="1:17">
      <c r="A171" t="s">
        <v>478</v>
      </c>
      <c r="B171">
        <v>524220</v>
      </c>
      <c r="C171" t="s">
        <v>27</v>
      </c>
      <c r="D171">
        <v>0</v>
      </c>
      <c r="E171">
        <v>47</v>
      </c>
      <c r="F171" t="s">
        <v>368</v>
      </c>
      <c r="G171" s="1">
        <v>42811</v>
      </c>
      <c r="H171">
        <v>113940</v>
      </c>
      <c r="I171" t="s">
        <v>142</v>
      </c>
      <c r="O171" t="str">
        <f t="shared" si="4"/>
        <v>Q1 2017</v>
      </c>
      <c r="P171" s="1">
        <f t="shared" si="5"/>
        <v>42736</v>
      </c>
      <c r="Q171" t="s">
        <v>479</v>
      </c>
    </row>
    <row r="172" spans="1:17">
      <c r="A172" t="s">
        <v>480</v>
      </c>
      <c r="B172">
        <v>232790</v>
      </c>
      <c r="C172" t="s">
        <v>27</v>
      </c>
      <c r="D172">
        <v>0</v>
      </c>
      <c r="E172">
        <v>45</v>
      </c>
      <c r="F172" t="s">
        <v>368</v>
      </c>
      <c r="G172" s="1">
        <v>41667</v>
      </c>
      <c r="H172">
        <v>4598</v>
      </c>
      <c r="I172" t="s">
        <v>286</v>
      </c>
      <c r="O172" t="str">
        <f t="shared" si="4"/>
        <v>Q1 2014</v>
      </c>
      <c r="P172" s="1">
        <f t="shared" si="5"/>
        <v>41640</v>
      </c>
      <c r="Q172" t="s">
        <v>481</v>
      </c>
    </row>
    <row r="173" spans="1:17">
      <c r="A173" t="s">
        <v>482</v>
      </c>
      <c r="B173">
        <v>1017900</v>
      </c>
      <c r="C173" t="s">
        <v>27</v>
      </c>
      <c r="D173">
        <v>0</v>
      </c>
      <c r="E173">
        <v>44</v>
      </c>
      <c r="F173" t="s">
        <v>368</v>
      </c>
      <c r="G173" s="1">
        <v>43696</v>
      </c>
      <c r="H173">
        <v>14178</v>
      </c>
      <c r="I173" t="s">
        <v>483</v>
      </c>
      <c r="J173">
        <v>9</v>
      </c>
      <c r="K173">
        <v>27</v>
      </c>
      <c r="L173">
        <v>1935</v>
      </c>
      <c r="M173">
        <v>30</v>
      </c>
      <c r="N173">
        <v>4683</v>
      </c>
      <c r="O173" t="str">
        <f t="shared" si="4"/>
        <v>Q3 2019</v>
      </c>
      <c r="P173" s="1">
        <f t="shared" si="5"/>
        <v>43647</v>
      </c>
      <c r="Q173" t="s">
        <v>484</v>
      </c>
    </row>
    <row r="174" spans="1:17">
      <c r="A174" t="s">
        <v>485</v>
      </c>
      <c r="B174">
        <v>623940</v>
      </c>
      <c r="C174" t="s">
        <v>27</v>
      </c>
      <c r="D174">
        <v>0</v>
      </c>
      <c r="E174">
        <v>44</v>
      </c>
      <c r="F174" t="s">
        <v>368</v>
      </c>
      <c r="G174" s="1">
        <v>42992</v>
      </c>
      <c r="H174">
        <v>3110</v>
      </c>
      <c r="I174" t="s">
        <v>486</v>
      </c>
      <c r="J174">
        <v>114</v>
      </c>
      <c r="K174">
        <v>68</v>
      </c>
      <c r="L174">
        <v>152</v>
      </c>
      <c r="M174">
        <v>28</v>
      </c>
      <c r="N174">
        <v>302</v>
      </c>
      <c r="O174" t="str">
        <f t="shared" si="4"/>
        <v>Q3 2017</v>
      </c>
      <c r="P174" s="1">
        <f t="shared" si="5"/>
        <v>42917</v>
      </c>
      <c r="Q174" t="s">
        <v>487</v>
      </c>
    </row>
    <row r="175" spans="1:17">
      <c r="A175" t="s">
        <v>488</v>
      </c>
      <c r="B175">
        <v>304240</v>
      </c>
      <c r="C175" t="s">
        <v>27</v>
      </c>
      <c r="D175">
        <v>0</v>
      </c>
      <c r="E175">
        <v>44</v>
      </c>
      <c r="F175" t="s">
        <v>368</v>
      </c>
      <c r="G175" s="1">
        <v>42023</v>
      </c>
      <c r="H175">
        <v>26634</v>
      </c>
      <c r="I175" t="s">
        <v>126</v>
      </c>
      <c r="O175" t="str">
        <f t="shared" si="4"/>
        <v>Q1 2015</v>
      </c>
      <c r="P175" s="1">
        <f t="shared" si="5"/>
        <v>42005</v>
      </c>
      <c r="Q175" t="s">
        <v>489</v>
      </c>
    </row>
    <row r="176" spans="1:17">
      <c r="A176" t="s">
        <v>490</v>
      </c>
      <c r="B176">
        <v>374320</v>
      </c>
      <c r="C176" t="s">
        <v>27</v>
      </c>
      <c r="D176">
        <v>43</v>
      </c>
      <c r="E176">
        <v>43</v>
      </c>
      <c r="F176" t="s">
        <v>368</v>
      </c>
      <c r="G176" s="1">
        <v>42471</v>
      </c>
      <c r="H176">
        <v>276767</v>
      </c>
      <c r="I176" t="s">
        <v>491</v>
      </c>
      <c r="J176">
        <v>46</v>
      </c>
      <c r="K176">
        <v>1900</v>
      </c>
      <c r="L176">
        <v>1925</v>
      </c>
      <c r="M176">
        <v>1200</v>
      </c>
      <c r="N176">
        <v>6437</v>
      </c>
      <c r="O176" t="str">
        <f t="shared" si="4"/>
        <v>Q2 2016</v>
      </c>
      <c r="P176" s="1">
        <f t="shared" si="5"/>
        <v>42461</v>
      </c>
      <c r="Q176" t="s">
        <v>492</v>
      </c>
    </row>
    <row r="177" spans="1:17">
      <c r="A177" t="s">
        <v>493</v>
      </c>
      <c r="B177">
        <v>50620</v>
      </c>
      <c r="C177" t="s">
        <v>27</v>
      </c>
      <c r="D177">
        <v>0</v>
      </c>
      <c r="E177">
        <v>43</v>
      </c>
      <c r="F177" t="s">
        <v>368</v>
      </c>
      <c r="G177" s="1">
        <v>40444</v>
      </c>
      <c r="H177">
        <v>8511</v>
      </c>
      <c r="I177" t="s">
        <v>66</v>
      </c>
      <c r="J177">
        <v>49</v>
      </c>
      <c r="K177">
        <v>1100</v>
      </c>
      <c r="L177">
        <v>1028</v>
      </c>
      <c r="M177">
        <v>429</v>
      </c>
      <c r="N177">
        <v>1738</v>
      </c>
      <c r="O177" t="str">
        <f t="shared" si="4"/>
        <v>Q3 2010</v>
      </c>
      <c r="P177" s="1">
        <f t="shared" si="5"/>
        <v>40360</v>
      </c>
      <c r="Q177" t="s">
        <v>494</v>
      </c>
    </row>
    <row r="178" spans="1:17">
      <c r="A178" t="s">
        <v>495</v>
      </c>
      <c r="B178">
        <v>462780</v>
      </c>
      <c r="C178" t="s">
        <v>27</v>
      </c>
      <c r="D178">
        <v>0</v>
      </c>
      <c r="E178">
        <v>43</v>
      </c>
      <c r="F178" t="s">
        <v>368</v>
      </c>
      <c r="G178" s="1">
        <v>42703</v>
      </c>
      <c r="H178">
        <v>13664</v>
      </c>
      <c r="I178" t="s">
        <v>66</v>
      </c>
      <c r="J178">
        <v>51</v>
      </c>
      <c r="K178">
        <v>1100</v>
      </c>
      <c r="L178">
        <v>1028</v>
      </c>
      <c r="M178">
        <v>429</v>
      </c>
      <c r="N178">
        <v>1738</v>
      </c>
      <c r="O178" t="str">
        <f t="shared" si="4"/>
        <v>Q4 2016</v>
      </c>
      <c r="P178" s="1">
        <f t="shared" si="5"/>
        <v>42644</v>
      </c>
      <c r="Q178" t="s">
        <v>496</v>
      </c>
    </row>
    <row r="179" spans="1:17">
      <c r="A179" t="s">
        <v>497</v>
      </c>
      <c r="B179">
        <v>356650</v>
      </c>
      <c r="C179" t="s">
        <v>27</v>
      </c>
      <c r="D179">
        <v>0</v>
      </c>
      <c r="E179">
        <v>43</v>
      </c>
      <c r="F179" t="s">
        <v>368</v>
      </c>
      <c r="G179" s="1">
        <v>43325</v>
      </c>
      <c r="H179">
        <v>4235</v>
      </c>
      <c r="I179" t="s">
        <v>498</v>
      </c>
      <c r="J179">
        <v>56</v>
      </c>
      <c r="K179">
        <v>38</v>
      </c>
      <c r="L179">
        <v>857</v>
      </c>
      <c r="M179">
        <v>10</v>
      </c>
      <c r="N179">
        <v>2541</v>
      </c>
      <c r="O179" t="str">
        <f t="shared" si="4"/>
        <v>Q3 2018</v>
      </c>
      <c r="P179" s="1">
        <f t="shared" si="5"/>
        <v>43282</v>
      </c>
      <c r="Q179" t="s">
        <v>499</v>
      </c>
    </row>
    <row r="180" spans="1:17">
      <c r="A180" t="s">
        <v>500</v>
      </c>
      <c r="B180">
        <v>329050</v>
      </c>
      <c r="C180" t="s">
        <v>27</v>
      </c>
      <c r="D180">
        <v>0</v>
      </c>
      <c r="E180">
        <v>42</v>
      </c>
      <c r="F180" t="s">
        <v>368</v>
      </c>
      <c r="G180" s="1">
        <v>42178</v>
      </c>
      <c r="H180">
        <v>16448</v>
      </c>
      <c r="I180" t="s">
        <v>126</v>
      </c>
      <c r="J180">
        <v>64</v>
      </c>
      <c r="K180">
        <v>543</v>
      </c>
      <c r="L180">
        <v>665</v>
      </c>
      <c r="M180">
        <v>21</v>
      </c>
      <c r="N180">
        <v>4266</v>
      </c>
      <c r="O180" t="str">
        <f t="shared" si="4"/>
        <v>Q2 2015</v>
      </c>
      <c r="P180" s="1">
        <f t="shared" si="5"/>
        <v>42095</v>
      </c>
      <c r="Q180" t="s">
        <v>501</v>
      </c>
    </row>
    <row r="181" spans="1:17">
      <c r="A181" t="s">
        <v>502</v>
      </c>
      <c r="B181">
        <v>1245620</v>
      </c>
      <c r="C181" t="s">
        <v>27</v>
      </c>
      <c r="D181">
        <v>0</v>
      </c>
      <c r="E181">
        <v>42</v>
      </c>
      <c r="F181" t="s">
        <v>368</v>
      </c>
      <c r="G181" s="1">
        <v>44616</v>
      </c>
      <c r="H181">
        <v>823410</v>
      </c>
      <c r="I181" t="s">
        <v>491</v>
      </c>
      <c r="J181">
        <v>77</v>
      </c>
      <c r="K181">
        <v>1700</v>
      </c>
      <c r="L181">
        <v>3606</v>
      </c>
      <c r="M181">
        <v>3900</v>
      </c>
      <c r="N181">
        <v>8519</v>
      </c>
      <c r="O181" t="str">
        <f t="shared" si="4"/>
        <v>Q1 2022</v>
      </c>
      <c r="P181" s="1">
        <f t="shared" si="5"/>
        <v>44562</v>
      </c>
      <c r="Q181" t="s">
        <v>503</v>
      </c>
    </row>
    <row r="182" spans="1:17">
      <c r="A182" t="s">
        <v>504</v>
      </c>
      <c r="B182">
        <v>287700</v>
      </c>
      <c r="C182" t="s">
        <v>27</v>
      </c>
      <c r="D182">
        <v>0</v>
      </c>
      <c r="E182">
        <v>42</v>
      </c>
      <c r="F182" t="s">
        <v>368</v>
      </c>
      <c r="G182" s="1">
        <v>42248</v>
      </c>
      <c r="H182">
        <v>72293</v>
      </c>
      <c r="I182" t="s">
        <v>80</v>
      </c>
      <c r="J182">
        <v>141</v>
      </c>
      <c r="K182">
        <v>857</v>
      </c>
      <c r="L182">
        <v>2783</v>
      </c>
      <c r="M182">
        <v>505</v>
      </c>
      <c r="N182">
        <v>10159</v>
      </c>
      <c r="O182" t="str">
        <f t="shared" si="4"/>
        <v>Q3 2015</v>
      </c>
      <c r="P182" s="1">
        <f t="shared" si="5"/>
        <v>42186</v>
      </c>
      <c r="Q182" t="s">
        <v>505</v>
      </c>
    </row>
    <row r="183" spans="1:17">
      <c r="A183" t="s">
        <v>506</v>
      </c>
      <c r="B183">
        <v>257170</v>
      </c>
      <c r="C183" t="s">
        <v>27</v>
      </c>
      <c r="D183">
        <v>0</v>
      </c>
      <c r="E183">
        <v>42</v>
      </c>
      <c r="F183" t="s">
        <v>368</v>
      </c>
      <c r="G183" s="1">
        <v>42153</v>
      </c>
      <c r="H183">
        <v>1479</v>
      </c>
      <c r="I183" t="s">
        <v>507</v>
      </c>
      <c r="J183">
        <v>173</v>
      </c>
      <c r="K183">
        <v>5</v>
      </c>
      <c r="L183">
        <v>1855</v>
      </c>
      <c r="M183">
        <v>1</v>
      </c>
      <c r="N183">
        <v>2460</v>
      </c>
      <c r="O183" t="str">
        <f t="shared" si="4"/>
        <v>Q2 2015</v>
      </c>
      <c r="P183" s="1">
        <f t="shared" si="5"/>
        <v>42095</v>
      </c>
      <c r="Q183" t="s">
        <v>508</v>
      </c>
    </row>
    <row r="184" spans="1:17">
      <c r="A184" t="s">
        <v>509</v>
      </c>
      <c r="B184">
        <v>567640</v>
      </c>
      <c r="C184" t="s">
        <v>27</v>
      </c>
      <c r="D184">
        <v>19</v>
      </c>
      <c r="E184">
        <v>41</v>
      </c>
      <c r="F184" t="s">
        <v>368</v>
      </c>
      <c r="G184" s="1">
        <v>43003</v>
      </c>
      <c r="H184">
        <v>21485</v>
      </c>
      <c r="I184" t="s">
        <v>267</v>
      </c>
      <c r="J184">
        <v>43</v>
      </c>
      <c r="K184">
        <v>663</v>
      </c>
      <c r="L184">
        <v>2383</v>
      </c>
      <c r="M184">
        <v>78</v>
      </c>
      <c r="N184">
        <v>6190</v>
      </c>
      <c r="O184" t="str">
        <f t="shared" si="4"/>
        <v>Q3 2017</v>
      </c>
      <c r="P184" s="1">
        <f t="shared" si="5"/>
        <v>42917</v>
      </c>
      <c r="Q184" t="s">
        <v>510</v>
      </c>
    </row>
    <row r="185" spans="1:17">
      <c r="A185" t="s">
        <v>511</v>
      </c>
      <c r="B185">
        <v>570940</v>
      </c>
      <c r="C185" t="s">
        <v>27</v>
      </c>
      <c r="D185">
        <v>20</v>
      </c>
      <c r="E185">
        <v>41</v>
      </c>
      <c r="F185" t="s">
        <v>368</v>
      </c>
      <c r="G185" s="1">
        <v>43243</v>
      </c>
      <c r="H185">
        <v>98706</v>
      </c>
      <c r="I185" t="s">
        <v>491</v>
      </c>
      <c r="J185">
        <v>47</v>
      </c>
      <c r="K185">
        <v>944</v>
      </c>
      <c r="L185">
        <v>1722</v>
      </c>
      <c r="M185">
        <v>953</v>
      </c>
      <c r="N185">
        <v>4278</v>
      </c>
      <c r="O185" t="str">
        <f t="shared" si="4"/>
        <v>Q2 2018</v>
      </c>
      <c r="P185" s="1">
        <f t="shared" si="5"/>
        <v>43191</v>
      </c>
      <c r="Q185" t="s">
        <v>512</v>
      </c>
    </row>
    <row r="186" spans="1:17">
      <c r="A186" t="s">
        <v>513</v>
      </c>
      <c r="B186">
        <v>335300</v>
      </c>
      <c r="C186" t="s">
        <v>27</v>
      </c>
      <c r="D186">
        <v>18</v>
      </c>
      <c r="E186">
        <v>38</v>
      </c>
      <c r="F186" t="s">
        <v>368</v>
      </c>
      <c r="G186" s="1">
        <v>42095</v>
      </c>
      <c r="H186">
        <v>82807</v>
      </c>
      <c r="I186" t="s">
        <v>465</v>
      </c>
      <c r="J186">
        <v>45</v>
      </c>
      <c r="K186">
        <v>999</v>
      </c>
      <c r="L186">
        <v>2163</v>
      </c>
      <c r="M186">
        <v>685</v>
      </c>
      <c r="N186">
        <v>6500</v>
      </c>
      <c r="O186" t="str">
        <f t="shared" si="4"/>
        <v>Q2 2015</v>
      </c>
      <c r="P186" s="1">
        <f t="shared" si="5"/>
        <v>42095</v>
      </c>
      <c r="Q186" t="s">
        <v>514</v>
      </c>
    </row>
    <row r="187" spans="1:17">
      <c r="A187" t="s">
        <v>515</v>
      </c>
      <c r="B187">
        <v>2622380</v>
      </c>
      <c r="C187" t="s">
        <v>27</v>
      </c>
      <c r="D187">
        <v>32</v>
      </c>
      <c r="E187">
        <v>37</v>
      </c>
      <c r="F187" t="s">
        <v>368</v>
      </c>
      <c r="G187" s="1">
        <v>45806</v>
      </c>
      <c r="H187">
        <v>127379</v>
      </c>
      <c r="I187" t="s">
        <v>491</v>
      </c>
      <c r="J187">
        <v>78</v>
      </c>
      <c r="K187">
        <v>180</v>
      </c>
      <c r="L187">
        <v>1786</v>
      </c>
      <c r="M187">
        <v>192</v>
      </c>
      <c r="N187">
        <v>4213</v>
      </c>
      <c r="O187" t="str">
        <f t="shared" si="4"/>
        <v>Q2 2025</v>
      </c>
      <c r="P187" s="1">
        <f t="shared" si="5"/>
        <v>45748</v>
      </c>
      <c r="Q187" t="s">
        <v>516</v>
      </c>
    </row>
    <row r="188" spans="1:17">
      <c r="A188" t="s">
        <v>517</v>
      </c>
      <c r="B188">
        <v>415740</v>
      </c>
      <c r="C188" t="s">
        <v>27</v>
      </c>
      <c r="D188">
        <v>0</v>
      </c>
      <c r="E188">
        <v>37</v>
      </c>
      <c r="F188" t="s">
        <v>368</v>
      </c>
      <c r="G188" s="1">
        <v>42516</v>
      </c>
      <c r="H188">
        <v>485</v>
      </c>
      <c r="I188" t="s">
        <v>47</v>
      </c>
      <c r="J188">
        <v>158</v>
      </c>
      <c r="K188">
        <v>14</v>
      </c>
      <c r="L188">
        <v>209</v>
      </c>
      <c r="M188">
        <v>1</v>
      </c>
      <c r="N188">
        <v>996</v>
      </c>
      <c r="O188" t="str">
        <f t="shared" si="4"/>
        <v>Q2 2016</v>
      </c>
      <c r="P188" s="1">
        <f t="shared" si="5"/>
        <v>42461</v>
      </c>
      <c r="Q188" t="s">
        <v>518</v>
      </c>
    </row>
    <row r="189" spans="1:17">
      <c r="A189" t="s">
        <v>519</v>
      </c>
      <c r="B189">
        <v>439190</v>
      </c>
      <c r="C189" t="s">
        <v>27</v>
      </c>
      <c r="D189">
        <v>0</v>
      </c>
      <c r="E189">
        <v>37</v>
      </c>
      <c r="F189" t="s">
        <v>368</v>
      </c>
      <c r="G189" s="1">
        <v>42472</v>
      </c>
      <c r="H189">
        <v>1932</v>
      </c>
      <c r="I189" t="s">
        <v>520</v>
      </c>
      <c r="J189">
        <v>201</v>
      </c>
      <c r="K189">
        <v>198</v>
      </c>
      <c r="L189">
        <v>324</v>
      </c>
      <c r="M189">
        <v>105</v>
      </c>
      <c r="N189">
        <v>1220</v>
      </c>
      <c r="O189" t="str">
        <f t="shared" si="4"/>
        <v>Q2 2016</v>
      </c>
      <c r="P189" s="1">
        <f t="shared" si="5"/>
        <v>42461</v>
      </c>
      <c r="Q189" t="s">
        <v>521</v>
      </c>
    </row>
    <row r="190" spans="1:17">
      <c r="A190" t="s">
        <v>522</v>
      </c>
      <c r="B190">
        <v>298630</v>
      </c>
      <c r="C190" t="s">
        <v>27</v>
      </c>
      <c r="D190">
        <v>0</v>
      </c>
      <c r="E190">
        <v>37</v>
      </c>
      <c r="F190" t="s">
        <v>368</v>
      </c>
      <c r="G190" s="1">
        <v>42048</v>
      </c>
      <c r="H190">
        <v>14280</v>
      </c>
      <c r="I190" t="s">
        <v>523</v>
      </c>
      <c r="J190">
        <v>212</v>
      </c>
      <c r="K190">
        <v>31</v>
      </c>
      <c r="L190">
        <v>1131</v>
      </c>
      <c r="M190">
        <v>16</v>
      </c>
      <c r="N190">
        <v>2741</v>
      </c>
      <c r="O190" t="str">
        <f t="shared" si="4"/>
        <v>Q1 2015</v>
      </c>
      <c r="P190" s="1">
        <f t="shared" si="5"/>
        <v>42005</v>
      </c>
      <c r="Q190" t="s">
        <v>524</v>
      </c>
    </row>
    <row r="191" spans="1:17">
      <c r="A191" t="s">
        <v>525</v>
      </c>
      <c r="B191">
        <v>39140</v>
      </c>
      <c r="C191" t="s">
        <v>27</v>
      </c>
      <c r="D191">
        <v>0</v>
      </c>
      <c r="E191">
        <v>36</v>
      </c>
      <c r="F191" t="s">
        <v>368</v>
      </c>
      <c r="H191">
        <v>30294</v>
      </c>
      <c r="I191" t="s">
        <v>142</v>
      </c>
      <c r="O191" t="str">
        <f t="shared" si="4"/>
        <v>Q1 1900</v>
      </c>
      <c r="P191" s="1">
        <f t="shared" si="5"/>
        <v>1</v>
      </c>
      <c r="Q191" t="s">
        <v>526</v>
      </c>
    </row>
    <row r="192" spans="1:17">
      <c r="A192" t="s">
        <v>527</v>
      </c>
      <c r="B192">
        <v>504130</v>
      </c>
      <c r="C192" t="s">
        <v>27</v>
      </c>
      <c r="D192">
        <v>0</v>
      </c>
      <c r="E192">
        <v>36</v>
      </c>
      <c r="F192" t="s">
        <v>368</v>
      </c>
      <c r="G192" s="1">
        <v>42657</v>
      </c>
      <c r="H192">
        <v>1512</v>
      </c>
      <c r="I192" t="s">
        <v>171</v>
      </c>
      <c r="O192" t="str">
        <f t="shared" si="4"/>
        <v>Q4 2016</v>
      </c>
      <c r="P192" s="1">
        <f t="shared" si="5"/>
        <v>42644</v>
      </c>
      <c r="Q192" t="s">
        <v>528</v>
      </c>
    </row>
    <row r="193" spans="1:17">
      <c r="A193" t="s">
        <v>529</v>
      </c>
      <c r="B193">
        <v>625680</v>
      </c>
      <c r="C193" t="s">
        <v>27</v>
      </c>
      <c r="D193">
        <v>0</v>
      </c>
      <c r="E193">
        <v>36</v>
      </c>
      <c r="F193" t="s">
        <v>368</v>
      </c>
      <c r="G193" s="1">
        <v>43165</v>
      </c>
      <c r="H193">
        <v>182</v>
      </c>
      <c r="I193" t="s">
        <v>530</v>
      </c>
      <c r="J193">
        <v>237</v>
      </c>
      <c r="K193">
        <v>13</v>
      </c>
      <c r="L193">
        <v>244</v>
      </c>
      <c r="O193" t="str">
        <f t="shared" si="4"/>
        <v>Q1 2018</v>
      </c>
      <c r="P193" s="1">
        <f t="shared" si="5"/>
        <v>43101</v>
      </c>
      <c r="Q193" t="s">
        <v>531</v>
      </c>
    </row>
    <row r="194" spans="1:17">
      <c r="A194" t="s">
        <v>532</v>
      </c>
      <c r="B194">
        <v>1966900</v>
      </c>
      <c r="C194" t="s">
        <v>27</v>
      </c>
      <c r="D194">
        <v>0</v>
      </c>
      <c r="E194">
        <v>34</v>
      </c>
      <c r="F194" t="s">
        <v>368</v>
      </c>
      <c r="G194" s="1">
        <v>45085</v>
      </c>
      <c r="H194">
        <v>27666</v>
      </c>
      <c r="I194" t="s">
        <v>533</v>
      </c>
      <c r="J194">
        <v>1</v>
      </c>
      <c r="K194">
        <v>111</v>
      </c>
      <c r="L194">
        <v>256</v>
      </c>
      <c r="M194">
        <v>82</v>
      </c>
      <c r="N194">
        <v>1881</v>
      </c>
      <c r="O194" t="str">
        <f t="shared" ref="O194:O257" si="6">"Q"&amp;ROUNDUP(MONTH(G194)/3,0)&amp;" "&amp;YEAR(G194)</f>
        <v>Q2 2023</v>
      </c>
      <c r="P194" s="1">
        <f t="shared" ref="P194:P257" si="7">DATE(YEAR(G194),3*ROUNDUP(MONTH(G194)/3,0)-2,1)</f>
        <v>45017</v>
      </c>
      <c r="Q194" t="s">
        <v>534</v>
      </c>
    </row>
    <row r="195" spans="1:17">
      <c r="A195" t="s">
        <v>535</v>
      </c>
      <c r="B195">
        <v>814380</v>
      </c>
      <c r="C195" t="s">
        <v>27</v>
      </c>
      <c r="D195">
        <v>16</v>
      </c>
      <c r="E195">
        <v>34</v>
      </c>
      <c r="F195" t="s">
        <v>368</v>
      </c>
      <c r="G195" s="1">
        <v>43545</v>
      </c>
      <c r="H195">
        <v>256300</v>
      </c>
      <c r="I195" t="s">
        <v>536</v>
      </c>
      <c r="J195">
        <v>188</v>
      </c>
      <c r="K195">
        <v>1200</v>
      </c>
      <c r="L195">
        <v>1831</v>
      </c>
      <c r="M195">
        <v>1400</v>
      </c>
      <c r="N195">
        <v>4313</v>
      </c>
      <c r="O195" t="str">
        <f t="shared" si="6"/>
        <v>Q1 2019</v>
      </c>
      <c r="P195" s="1">
        <f t="shared" si="7"/>
        <v>43466</v>
      </c>
      <c r="Q195" t="s">
        <v>537</v>
      </c>
    </row>
    <row r="196" spans="1:17">
      <c r="A196" t="s">
        <v>538</v>
      </c>
      <c r="B196">
        <v>200170</v>
      </c>
      <c r="C196" t="s">
        <v>27</v>
      </c>
      <c r="D196">
        <v>0</v>
      </c>
      <c r="E196">
        <v>34</v>
      </c>
      <c r="F196" t="s">
        <v>368</v>
      </c>
      <c r="G196" s="1">
        <v>41192</v>
      </c>
      <c r="H196">
        <v>5638</v>
      </c>
      <c r="I196" t="s">
        <v>539</v>
      </c>
      <c r="J196">
        <v>241</v>
      </c>
      <c r="K196">
        <v>6</v>
      </c>
      <c r="L196">
        <v>1168</v>
      </c>
      <c r="M196">
        <v>2</v>
      </c>
      <c r="N196">
        <v>1913</v>
      </c>
      <c r="O196" t="str">
        <f t="shared" si="6"/>
        <v>Q4 2012</v>
      </c>
      <c r="P196" s="1">
        <f t="shared" si="7"/>
        <v>41183</v>
      </c>
      <c r="Q196" t="s">
        <v>540</v>
      </c>
    </row>
    <row r="197" spans="1:17">
      <c r="A197" t="s">
        <v>541</v>
      </c>
      <c r="B197">
        <v>945360</v>
      </c>
      <c r="C197" t="s">
        <v>27</v>
      </c>
      <c r="D197">
        <v>11</v>
      </c>
      <c r="E197">
        <v>33</v>
      </c>
      <c r="F197" t="s">
        <v>368</v>
      </c>
      <c r="G197" s="1">
        <v>43420</v>
      </c>
      <c r="H197">
        <v>649995</v>
      </c>
      <c r="I197" t="s">
        <v>542</v>
      </c>
      <c r="J197">
        <v>13</v>
      </c>
      <c r="O197" t="str">
        <f t="shared" si="6"/>
        <v>Q4 2018</v>
      </c>
      <c r="P197" s="1">
        <f t="shared" si="7"/>
        <v>43374</v>
      </c>
      <c r="Q197" t="s">
        <v>543</v>
      </c>
    </row>
    <row r="198" spans="1:17">
      <c r="A198" t="s">
        <v>544</v>
      </c>
      <c r="B198">
        <v>423230</v>
      </c>
      <c r="C198" t="s">
        <v>27</v>
      </c>
      <c r="D198">
        <v>0</v>
      </c>
      <c r="E198">
        <v>33</v>
      </c>
      <c r="F198" t="s">
        <v>368</v>
      </c>
      <c r="G198" s="1">
        <v>42556</v>
      </c>
      <c r="H198">
        <v>11150</v>
      </c>
      <c r="I198" t="s">
        <v>545</v>
      </c>
      <c r="J198">
        <v>96</v>
      </c>
      <c r="K198">
        <v>609</v>
      </c>
      <c r="L198">
        <v>336</v>
      </c>
      <c r="M198">
        <v>52</v>
      </c>
      <c r="N198">
        <v>1090</v>
      </c>
      <c r="O198" t="str">
        <f t="shared" si="6"/>
        <v>Q3 2016</v>
      </c>
      <c r="P198" s="1">
        <f t="shared" si="7"/>
        <v>42552</v>
      </c>
      <c r="Q198" t="s">
        <v>546</v>
      </c>
    </row>
    <row r="199" spans="1:17">
      <c r="A199" t="s">
        <v>547</v>
      </c>
      <c r="B199">
        <v>361300</v>
      </c>
      <c r="C199" t="s">
        <v>27</v>
      </c>
      <c r="D199">
        <v>0</v>
      </c>
      <c r="E199">
        <v>33</v>
      </c>
      <c r="F199" t="s">
        <v>368</v>
      </c>
      <c r="G199" s="1">
        <v>42618</v>
      </c>
      <c r="H199">
        <v>4326</v>
      </c>
      <c r="I199" t="s">
        <v>47</v>
      </c>
      <c r="J199">
        <v>148</v>
      </c>
      <c r="K199">
        <v>105</v>
      </c>
      <c r="L199">
        <v>264</v>
      </c>
      <c r="M199">
        <v>2</v>
      </c>
      <c r="N199">
        <v>792</v>
      </c>
      <c r="O199" t="str">
        <f t="shared" si="6"/>
        <v>Q3 2016</v>
      </c>
      <c r="P199" s="1">
        <f t="shared" si="7"/>
        <v>42552</v>
      </c>
      <c r="Q199" t="s">
        <v>548</v>
      </c>
    </row>
    <row r="200" spans="1:17">
      <c r="A200" t="s">
        <v>549</v>
      </c>
      <c r="B200">
        <v>250700</v>
      </c>
      <c r="C200" t="s">
        <v>27</v>
      </c>
      <c r="D200">
        <v>0</v>
      </c>
      <c r="E200">
        <v>33</v>
      </c>
      <c r="F200" t="s">
        <v>368</v>
      </c>
      <c r="G200" s="1">
        <v>41876</v>
      </c>
      <c r="H200">
        <v>678</v>
      </c>
      <c r="I200" t="s">
        <v>550</v>
      </c>
      <c r="J200">
        <v>205</v>
      </c>
      <c r="K200">
        <v>48</v>
      </c>
      <c r="L200">
        <v>272</v>
      </c>
      <c r="M200">
        <v>14</v>
      </c>
      <c r="N200">
        <v>952</v>
      </c>
      <c r="O200" t="str">
        <f t="shared" si="6"/>
        <v>Q3 2014</v>
      </c>
      <c r="P200" s="1">
        <f t="shared" si="7"/>
        <v>41821</v>
      </c>
      <c r="Q200" t="s">
        <v>551</v>
      </c>
    </row>
    <row r="201" spans="1:17">
      <c r="A201" t="s">
        <v>552</v>
      </c>
      <c r="B201">
        <v>346110</v>
      </c>
      <c r="C201" t="s">
        <v>27</v>
      </c>
      <c r="D201">
        <v>0</v>
      </c>
      <c r="E201">
        <v>32</v>
      </c>
      <c r="F201" t="s">
        <v>368</v>
      </c>
      <c r="G201" s="1">
        <v>42974</v>
      </c>
      <c r="H201">
        <v>581974</v>
      </c>
      <c r="I201" t="s">
        <v>183</v>
      </c>
      <c r="J201">
        <v>16</v>
      </c>
      <c r="K201">
        <v>52</v>
      </c>
      <c r="L201">
        <v>4622</v>
      </c>
      <c r="M201">
        <v>28</v>
      </c>
      <c r="N201">
        <v>69246</v>
      </c>
      <c r="O201" t="str">
        <f t="shared" si="6"/>
        <v>Q3 2017</v>
      </c>
      <c r="P201" s="1">
        <f t="shared" si="7"/>
        <v>42917</v>
      </c>
      <c r="Q201" t="s">
        <v>553</v>
      </c>
    </row>
    <row r="202" spans="1:17">
      <c r="A202" t="s">
        <v>554</v>
      </c>
      <c r="B202">
        <v>493340</v>
      </c>
      <c r="C202" t="s">
        <v>27</v>
      </c>
      <c r="D202">
        <v>0</v>
      </c>
      <c r="E202">
        <v>32</v>
      </c>
      <c r="F202" t="s">
        <v>368</v>
      </c>
      <c r="G202" s="1">
        <v>42691</v>
      </c>
      <c r="H202">
        <v>59280</v>
      </c>
      <c r="I202" t="s">
        <v>555</v>
      </c>
      <c r="J202">
        <v>165</v>
      </c>
      <c r="K202">
        <v>34</v>
      </c>
      <c r="L202">
        <v>1685</v>
      </c>
      <c r="M202">
        <v>39</v>
      </c>
      <c r="N202">
        <v>5257</v>
      </c>
      <c r="O202" t="str">
        <f t="shared" si="6"/>
        <v>Q4 2016</v>
      </c>
      <c r="P202" s="1">
        <f t="shared" si="7"/>
        <v>42644</v>
      </c>
      <c r="Q202" t="s">
        <v>556</v>
      </c>
    </row>
    <row r="203" spans="1:17">
      <c r="A203" t="s">
        <v>557</v>
      </c>
      <c r="B203">
        <v>274350</v>
      </c>
      <c r="C203" t="s">
        <v>27</v>
      </c>
      <c r="D203">
        <v>0</v>
      </c>
      <c r="E203">
        <v>30</v>
      </c>
      <c r="F203" t="s">
        <v>368</v>
      </c>
      <c r="G203" s="1">
        <v>42257</v>
      </c>
      <c r="H203">
        <v>1614</v>
      </c>
      <c r="I203" t="s">
        <v>47</v>
      </c>
      <c r="J203">
        <v>74</v>
      </c>
      <c r="K203">
        <v>46</v>
      </c>
      <c r="L203">
        <v>271</v>
      </c>
      <c r="M203">
        <v>41</v>
      </c>
      <c r="N203">
        <v>439</v>
      </c>
      <c r="O203" t="str">
        <f t="shared" si="6"/>
        <v>Q3 2015</v>
      </c>
      <c r="P203" s="1">
        <f t="shared" si="7"/>
        <v>42186</v>
      </c>
      <c r="Q203" t="s">
        <v>558</v>
      </c>
    </row>
    <row r="204" spans="1:17">
      <c r="A204" t="s">
        <v>559</v>
      </c>
      <c r="B204">
        <v>205950</v>
      </c>
      <c r="C204" t="s">
        <v>27</v>
      </c>
      <c r="D204">
        <v>0</v>
      </c>
      <c r="E204">
        <v>30</v>
      </c>
      <c r="F204" t="s">
        <v>368</v>
      </c>
      <c r="G204" s="1">
        <v>41171</v>
      </c>
      <c r="H204">
        <v>8291</v>
      </c>
      <c r="I204" t="s">
        <v>243</v>
      </c>
      <c r="J204">
        <v>122</v>
      </c>
      <c r="K204">
        <v>234</v>
      </c>
      <c r="L204">
        <v>409</v>
      </c>
      <c r="M204">
        <v>39</v>
      </c>
      <c r="N204">
        <v>1262</v>
      </c>
      <c r="O204" t="str">
        <f t="shared" si="6"/>
        <v>Q3 2012</v>
      </c>
      <c r="P204" s="1">
        <f t="shared" si="7"/>
        <v>41091</v>
      </c>
      <c r="Q204" t="s">
        <v>560</v>
      </c>
    </row>
    <row r="205" spans="1:17">
      <c r="A205" t="s">
        <v>561</v>
      </c>
      <c r="B205">
        <v>677620</v>
      </c>
      <c r="C205" t="s">
        <v>27</v>
      </c>
      <c r="D205">
        <v>2</v>
      </c>
      <c r="E205">
        <v>30</v>
      </c>
      <c r="F205" t="s">
        <v>368</v>
      </c>
      <c r="G205" s="1">
        <v>43609</v>
      </c>
      <c r="H205">
        <v>110655</v>
      </c>
      <c r="I205" t="s">
        <v>562</v>
      </c>
      <c r="O205" t="str">
        <f t="shared" si="6"/>
        <v>Q2 2019</v>
      </c>
      <c r="P205" s="1">
        <f t="shared" si="7"/>
        <v>43556</v>
      </c>
      <c r="Q205" t="s">
        <v>563</v>
      </c>
    </row>
    <row r="206" spans="1:17">
      <c r="A206" t="s">
        <v>564</v>
      </c>
      <c r="B206">
        <v>235210</v>
      </c>
      <c r="C206" t="s">
        <v>27</v>
      </c>
      <c r="D206">
        <v>0</v>
      </c>
      <c r="E206">
        <v>30</v>
      </c>
      <c r="F206" t="s">
        <v>368</v>
      </c>
      <c r="G206" s="1">
        <v>41689</v>
      </c>
      <c r="H206">
        <v>2157</v>
      </c>
      <c r="I206" t="s">
        <v>32</v>
      </c>
      <c r="J206">
        <v>203</v>
      </c>
      <c r="K206">
        <v>228</v>
      </c>
      <c r="L206">
        <v>336</v>
      </c>
      <c r="M206">
        <v>55</v>
      </c>
      <c r="N206">
        <v>878</v>
      </c>
      <c r="O206" t="str">
        <f t="shared" si="6"/>
        <v>Q1 2014</v>
      </c>
      <c r="P206" s="1">
        <f t="shared" si="7"/>
        <v>41640</v>
      </c>
      <c r="Q206" t="s">
        <v>565</v>
      </c>
    </row>
    <row r="207" spans="1:17">
      <c r="A207" t="s">
        <v>566</v>
      </c>
      <c r="B207">
        <v>250110</v>
      </c>
      <c r="C207" t="s">
        <v>27</v>
      </c>
      <c r="D207">
        <v>0</v>
      </c>
      <c r="E207">
        <v>29</v>
      </c>
      <c r="F207" t="s">
        <v>368</v>
      </c>
      <c r="G207" s="1">
        <v>42270</v>
      </c>
      <c r="H207">
        <v>1319</v>
      </c>
      <c r="I207" t="s">
        <v>567</v>
      </c>
      <c r="J207">
        <v>19</v>
      </c>
      <c r="K207">
        <v>90</v>
      </c>
      <c r="L207">
        <v>213</v>
      </c>
      <c r="M207">
        <v>7</v>
      </c>
      <c r="N207">
        <v>1790</v>
      </c>
      <c r="O207" t="str">
        <f t="shared" si="6"/>
        <v>Q3 2015</v>
      </c>
      <c r="P207" s="1">
        <f t="shared" si="7"/>
        <v>42186</v>
      </c>
      <c r="Q207" t="s">
        <v>568</v>
      </c>
    </row>
    <row r="208" spans="1:17">
      <c r="A208" t="s">
        <v>569</v>
      </c>
      <c r="B208">
        <v>274170</v>
      </c>
      <c r="C208" t="s">
        <v>27</v>
      </c>
      <c r="D208">
        <v>0</v>
      </c>
      <c r="E208">
        <v>29</v>
      </c>
      <c r="F208" t="s">
        <v>368</v>
      </c>
      <c r="G208" s="1">
        <v>42073</v>
      </c>
      <c r="H208">
        <v>68357</v>
      </c>
      <c r="I208" t="s">
        <v>47</v>
      </c>
      <c r="J208">
        <v>117</v>
      </c>
      <c r="K208">
        <v>923</v>
      </c>
      <c r="L208">
        <v>530</v>
      </c>
      <c r="M208">
        <v>119</v>
      </c>
      <c r="N208">
        <v>2172</v>
      </c>
      <c r="O208" t="str">
        <f t="shared" si="6"/>
        <v>Q1 2015</v>
      </c>
      <c r="P208" s="1">
        <f t="shared" si="7"/>
        <v>42005</v>
      </c>
      <c r="Q208" t="s">
        <v>570</v>
      </c>
    </row>
    <row r="209" spans="1:17">
      <c r="A209" t="s">
        <v>571</v>
      </c>
      <c r="B209">
        <v>674940</v>
      </c>
      <c r="C209" t="s">
        <v>27</v>
      </c>
      <c r="D209">
        <v>0</v>
      </c>
      <c r="E209">
        <v>28</v>
      </c>
      <c r="F209" t="s">
        <v>368</v>
      </c>
      <c r="G209" s="1">
        <v>43006</v>
      </c>
      <c r="H209">
        <v>99724</v>
      </c>
      <c r="I209" t="s">
        <v>572</v>
      </c>
      <c r="J209">
        <v>199</v>
      </c>
      <c r="O209" t="str">
        <f t="shared" si="6"/>
        <v>Q3 2017</v>
      </c>
      <c r="P209" s="1">
        <f t="shared" si="7"/>
        <v>42917</v>
      </c>
      <c r="Q209" t="s">
        <v>573</v>
      </c>
    </row>
    <row r="210" spans="1:17">
      <c r="A210" t="s">
        <v>574</v>
      </c>
      <c r="B210">
        <v>365660</v>
      </c>
      <c r="C210" t="s">
        <v>27</v>
      </c>
      <c r="D210">
        <v>0</v>
      </c>
      <c r="E210">
        <v>27</v>
      </c>
      <c r="F210" t="s">
        <v>368</v>
      </c>
      <c r="G210" s="1">
        <v>42227</v>
      </c>
      <c r="H210">
        <v>432</v>
      </c>
      <c r="I210" t="s">
        <v>47</v>
      </c>
      <c r="J210">
        <v>157</v>
      </c>
      <c r="K210">
        <v>41</v>
      </c>
      <c r="L210">
        <v>207</v>
      </c>
      <c r="M210">
        <v>8</v>
      </c>
      <c r="N210">
        <v>1891</v>
      </c>
      <c r="O210" t="str">
        <f t="shared" si="6"/>
        <v>Q3 2015</v>
      </c>
      <c r="P210" s="1">
        <f t="shared" si="7"/>
        <v>42186</v>
      </c>
      <c r="Q210" t="s">
        <v>575</v>
      </c>
    </row>
    <row r="211" spans="1:17">
      <c r="A211" t="s">
        <v>576</v>
      </c>
      <c r="B211">
        <v>356570</v>
      </c>
      <c r="C211" t="s">
        <v>27</v>
      </c>
      <c r="D211">
        <v>0</v>
      </c>
      <c r="E211">
        <v>27</v>
      </c>
      <c r="F211" t="s">
        <v>368</v>
      </c>
      <c r="G211" s="1">
        <v>42241</v>
      </c>
      <c r="H211">
        <v>9659</v>
      </c>
      <c r="I211" t="s">
        <v>577</v>
      </c>
      <c r="J211">
        <v>163</v>
      </c>
      <c r="K211">
        <v>160</v>
      </c>
      <c r="L211">
        <v>386</v>
      </c>
      <c r="M211">
        <v>83</v>
      </c>
      <c r="N211">
        <v>916</v>
      </c>
      <c r="O211" t="str">
        <f t="shared" si="6"/>
        <v>Q3 2015</v>
      </c>
      <c r="P211" s="1">
        <f t="shared" si="7"/>
        <v>42186</v>
      </c>
      <c r="Q211" t="s">
        <v>578</v>
      </c>
    </row>
    <row r="212" spans="1:17">
      <c r="A212" t="s">
        <v>579</v>
      </c>
      <c r="B212">
        <v>979120</v>
      </c>
      <c r="C212" t="s">
        <v>27</v>
      </c>
      <c r="D212">
        <v>1</v>
      </c>
      <c r="E212">
        <v>26</v>
      </c>
      <c r="F212" t="s">
        <v>368</v>
      </c>
      <c r="G212" s="1">
        <v>43755</v>
      </c>
      <c r="H212">
        <v>3578</v>
      </c>
      <c r="I212" t="s">
        <v>171</v>
      </c>
      <c r="J212">
        <v>20</v>
      </c>
      <c r="K212">
        <v>7</v>
      </c>
      <c r="L212">
        <v>6002</v>
      </c>
      <c r="M212">
        <v>8</v>
      </c>
      <c r="N212">
        <v>10463</v>
      </c>
      <c r="O212" t="str">
        <f t="shared" si="6"/>
        <v>Q4 2019</v>
      </c>
      <c r="P212" s="1">
        <f t="shared" si="7"/>
        <v>43739</v>
      </c>
      <c r="Q212" t="s">
        <v>580</v>
      </c>
    </row>
    <row r="213" spans="1:17">
      <c r="A213" t="s">
        <v>581</v>
      </c>
      <c r="B213">
        <v>322500</v>
      </c>
      <c r="C213" t="s">
        <v>27</v>
      </c>
      <c r="D213">
        <v>0</v>
      </c>
      <c r="E213">
        <v>26</v>
      </c>
      <c r="F213" t="s">
        <v>368</v>
      </c>
      <c r="G213" s="1">
        <v>42425</v>
      </c>
      <c r="H213">
        <v>27612</v>
      </c>
      <c r="I213" t="s">
        <v>582</v>
      </c>
      <c r="J213">
        <v>206</v>
      </c>
      <c r="K213">
        <v>2100</v>
      </c>
      <c r="L213">
        <v>150</v>
      </c>
      <c r="M213">
        <v>144</v>
      </c>
      <c r="N213">
        <v>1200</v>
      </c>
      <c r="O213" t="str">
        <f t="shared" si="6"/>
        <v>Q1 2016</v>
      </c>
      <c r="P213" s="1">
        <f t="shared" si="7"/>
        <v>42370</v>
      </c>
      <c r="Q213" t="s">
        <v>583</v>
      </c>
    </row>
    <row r="214" spans="1:17">
      <c r="A214" t="s">
        <v>584</v>
      </c>
      <c r="B214">
        <v>552500</v>
      </c>
      <c r="C214" t="s">
        <v>27</v>
      </c>
      <c r="D214">
        <v>0</v>
      </c>
      <c r="E214">
        <v>26</v>
      </c>
      <c r="F214" t="s">
        <v>368</v>
      </c>
      <c r="G214" s="1">
        <v>43167</v>
      </c>
      <c r="H214">
        <v>90603</v>
      </c>
      <c r="I214" t="s">
        <v>585</v>
      </c>
      <c r="J214">
        <v>236</v>
      </c>
      <c r="K214">
        <v>181</v>
      </c>
      <c r="L214">
        <v>694</v>
      </c>
      <c r="M214">
        <v>42</v>
      </c>
      <c r="N214">
        <v>7737</v>
      </c>
      <c r="O214" t="str">
        <f t="shared" si="6"/>
        <v>Q1 2018</v>
      </c>
      <c r="P214" s="1">
        <f t="shared" si="7"/>
        <v>43101</v>
      </c>
      <c r="Q214" t="s">
        <v>586</v>
      </c>
    </row>
    <row r="215" spans="1:17">
      <c r="A215" t="s">
        <v>587</v>
      </c>
      <c r="B215">
        <v>471810</v>
      </c>
      <c r="C215" t="s">
        <v>27</v>
      </c>
      <c r="D215">
        <v>0</v>
      </c>
      <c r="E215">
        <v>25</v>
      </c>
      <c r="F215" t="s">
        <v>368</v>
      </c>
      <c r="G215" s="1">
        <v>42807</v>
      </c>
      <c r="H215">
        <v>466</v>
      </c>
      <c r="I215" t="s">
        <v>588</v>
      </c>
      <c r="J215">
        <v>55</v>
      </c>
      <c r="K215">
        <v>34</v>
      </c>
      <c r="L215">
        <v>368</v>
      </c>
      <c r="M215">
        <v>22</v>
      </c>
      <c r="N215">
        <v>570</v>
      </c>
      <c r="O215" t="str">
        <f t="shared" si="6"/>
        <v>Q1 2017</v>
      </c>
      <c r="P215" s="1">
        <f t="shared" si="7"/>
        <v>42736</v>
      </c>
      <c r="Q215" t="s">
        <v>589</v>
      </c>
    </row>
    <row r="216" spans="1:17">
      <c r="A216" t="s">
        <v>590</v>
      </c>
      <c r="B216">
        <v>363440</v>
      </c>
      <c r="C216" t="s">
        <v>27</v>
      </c>
      <c r="D216">
        <v>0</v>
      </c>
      <c r="E216">
        <v>24</v>
      </c>
      <c r="F216" t="s">
        <v>368</v>
      </c>
      <c r="G216" s="1">
        <v>42240</v>
      </c>
      <c r="H216">
        <v>3758</v>
      </c>
      <c r="I216" t="s">
        <v>32</v>
      </c>
      <c r="J216">
        <v>138</v>
      </c>
      <c r="K216">
        <v>102</v>
      </c>
      <c r="L216">
        <v>1030</v>
      </c>
      <c r="M216">
        <v>20</v>
      </c>
      <c r="N216">
        <v>2295</v>
      </c>
      <c r="O216" t="str">
        <f t="shared" si="6"/>
        <v>Q3 2015</v>
      </c>
      <c r="P216" s="1">
        <f t="shared" si="7"/>
        <v>42186</v>
      </c>
      <c r="Q216" t="s">
        <v>591</v>
      </c>
    </row>
    <row r="217" spans="1:17">
      <c r="A217" t="s">
        <v>592</v>
      </c>
      <c r="B217">
        <v>857980</v>
      </c>
      <c r="C217" t="s">
        <v>27</v>
      </c>
      <c r="D217">
        <v>0</v>
      </c>
      <c r="E217">
        <v>24</v>
      </c>
      <c r="F217" t="s">
        <v>368</v>
      </c>
      <c r="G217" s="1">
        <v>43613</v>
      </c>
      <c r="H217">
        <v>3877</v>
      </c>
      <c r="I217" t="s">
        <v>593</v>
      </c>
      <c r="J217">
        <v>234</v>
      </c>
      <c r="K217">
        <v>119</v>
      </c>
      <c r="L217">
        <v>528</v>
      </c>
      <c r="M217">
        <v>13</v>
      </c>
      <c r="N217">
        <v>1920</v>
      </c>
      <c r="O217" t="str">
        <f t="shared" si="6"/>
        <v>Q2 2019</v>
      </c>
      <c r="P217" s="1">
        <f t="shared" si="7"/>
        <v>43556</v>
      </c>
      <c r="Q217" t="s">
        <v>594</v>
      </c>
    </row>
    <row r="218" spans="1:17">
      <c r="A218" t="s">
        <v>595</v>
      </c>
      <c r="B218">
        <v>447150</v>
      </c>
      <c r="C218" t="s">
        <v>27</v>
      </c>
      <c r="D218">
        <v>0</v>
      </c>
      <c r="E218">
        <v>23</v>
      </c>
      <c r="F218" t="s">
        <v>368</v>
      </c>
      <c r="G218" s="1">
        <v>43524</v>
      </c>
      <c r="H218">
        <v>3680</v>
      </c>
      <c r="I218" t="s">
        <v>47</v>
      </c>
      <c r="J218">
        <v>15</v>
      </c>
      <c r="K218">
        <v>552</v>
      </c>
      <c r="L218">
        <v>138</v>
      </c>
      <c r="M218">
        <v>16</v>
      </c>
      <c r="N218">
        <v>755</v>
      </c>
      <c r="O218" t="str">
        <f t="shared" si="6"/>
        <v>Q1 2019</v>
      </c>
      <c r="P218" s="1">
        <f t="shared" si="7"/>
        <v>43466</v>
      </c>
      <c r="Q218" t="s">
        <v>596</v>
      </c>
    </row>
    <row r="219" spans="1:17">
      <c r="A219" t="s">
        <v>597</v>
      </c>
      <c r="B219">
        <v>243970</v>
      </c>
      <c r="C219" t="s">
        <v>27</v>
      </c>
      <c r="D219">
        <v>0</v>
      </c>
      <c r="E219">
        <v>23</v>
      </c>
      <c r="F219" t="s">
        <v>368</v>
      </c>
      <c r="G219" s="1">
        <v>42136</v>
      </c>
      <c r="H219">
        <v>5062</v>
      </c>
      <c r="I219" t="s">
        <v>256</v>
      </c>
      <c r="J219">
        <v>121</v>
      </c>
      <c r="K219">
        <v>127</v>
      </c>
      <c r="L219">
        <v>449</v>
      </c>
      <c r="M219">
        <v>7</v>
      </c>
      <c r="N219">
        <v>5085</v>
      </c>
      <c r="O219" t="str">
        <f t="shared" si="6"/>
        <v>Q2 2015</v>
      </c>
      <c r="P219" s="1">
        <f t="shared" si="7"/>
        <v>42095</v>
      </c>
      <c r="Q219" t="s">
        <v>598</v>
      </c>
    </row>
    <row r="220" spans="1:17">
      <c r="A220" t="s">
        <v>599</v>
      </c>
      <c r="B220">
        <v>424840</v>
      </c>
      <c r="C220" t="s">
        <v>27</v>
      </c>
      <c r="D220">
        <v>0</v>
      </c>
      <c r="E220">
        <v>22</v>
      </c>
      <c r="F220" t="s">
        <v>368</v>
      </c>
      <c r="G220" s="1">
        <v>42852</v>
      </c>
      <c r="H220">
        <v>51902</v>
      </c>
      <c r="I220" t="s">
        <v>162</v>
      </c>
      <c r="J220">
        <v>129</v>
      </c>
      <c r="K220">
        <v>2300</v>
      </c>
      <c r="L220">
        <v>218</v>
      </c>
      <c r="M220">
        <v>301</v>
      </c>
      <c r="N220">
        <v>568</v>
      </c>
      <c r="O220" t="str">
        <f t="shared" si="6"/>
        <v>Q2 2017</v>
      </c>
      <c r="P220" s="1">
        <f t="shared" si="7"/>
        <v>42826</v>
      </c>
      <c r="Q220" t="s">
        <v>600</v>
      </c>
    </row>
    <row r="221" spans="1:17">
      <c r="A221" t="s">
        <v>601</v>
      </c>
      <c r="B221">
        <v>2149010</v>
      </c>
      <c r="C221" t="s">
        <v>27</v>
      </c>
      <c r="D221">
        <v>0</v>
      </c>
      <c r="E221">
        <v>22</v>
      </c>
      <c r="F221" t="s">
        <v>368</v>
      </c>
      <c r="G221" s="1">
        <v>45939</v>
      </c>
      <c r="H221">
        <v>2619</v>
      </c>
      <c r="I221" t="s">
        <v>465</v>
      </c>
      <c r="J221">
        <v>130</v>
      </c>
      <c r="K221">
        <v>2300</v>
      </c>
      <c r="L221">
        <v>218</v>
      </c>
      <c r="M221">
        <v>301</v>
      </c>
      <c r="N221">
        <v>568</v>
      </c>
      <c r="O221" t="str">
        <f t="shared" si="6"/>
        <v>Q4 2025</v>
      </c>
      <c r="P221" s="1">
        <f t="shared" si="7"/>
        <v>45931</v>
      </c>
      <c r="Q221" t="s">
        <v>602</v>
      </c>
    </row>
    <row r="222" spans="1:17">
      <c r="A222" t="s">
        <v>603</v>
      </c>
      <c r="B222">
        <v>367450</v>
      </c>
      <c r="C222" t="s">
        <v>27</v>
      </c>
      <c r="D222">
        <v>0</v>
      </c>
      <c r="E222">
        <v>22</v>
      </c>
      <c r="F222" t="s">
        <v>368</v>
      </c>
      <c r="G222" s="1">
        <v>42563</v>
      </c>
      <c r="H222">
        <v>16791</v>
      </c>
      <c r="I222" t="s">
        <v>604</v>
      </c>
      <c r="J222">
        <v>166</v>
      </c>
      <c r="K222">
        <v>8</v>
      </c>
      <c r="L222">
        <v>657</v>
      </c>
      <c r="M222">
        <v>22</v>
      </c>
      <c r="N222">
        <v>2256</v>
      </c>
      <c r="O222" t="str">
        <f t="shared" si="6"/>
        <v>Q3 2016</v>
      </c>
      <c r="P222" s="1">
        <f t="shared" si="7"/>
        <v>42552</v>
      </c>
      <c r="Q222" t="s">
        <v>605</v>
      </c>
    </row>
    <row r="223" spans="1:17">
      <c r="A223" t="s">
        <v>606</v>
      </c>
      <c r="B223">
        <v>290510</v>
      </c>
      <c r="C223" t="s">
        <v>27</v>
      </c>
      <c r="D223">
        <v>0</v>
      </c>
      <c r="E223">
        <v>20</v>
      </c>
      <c r="F223" t="s">
        <v>368</v>
      </c>
      <c r="G223" s="1">
        <v>43298</v>
      </c>
      <c r="H223">
        <v>419</v>
      </c>
      <c r="I223" t="s">
        <v>607</v>
      </c>
      <c r="J223">
        <v>100</v>
      </c>
      <c r="K223">
        <v>185</v>
      </c>
      <c r="L223">
        <v>114</v>
      </c>
      <c r="M223">
        <v>150</v>
      </c>
      <c r="N223">
        <v>127</v>
      </c>
      <c r="O223" t="str">
        <f t="shared" si="6"/>
        <v>Q3 2018</v>
      </c>
      <c r="P223" s="1">
        <f t="shared" si="7"/>
        <v>43282</v>
      </c>
      <c r="Q223" t="s">
        <v>608</v>
      </c>
    </row>
    <row r="224" spans="1:17">
      <c r="A224" t="s">
        <v>609</v>
      </c>
      <c r="B224">
        <v>342280</v>
      </c>
      <c r="C224" t="s">
        <v>27</v>
      </c>
      <c r="D224">
        <v>11</v>
      </c>
      <c r="E224">
        <v>20</v>
      </c>
      <c r="F224" t="s">
        <v>368</v>
      </c>
      <c r="G224" s="1">
        <v>42345</v>
      </c>
      <c r="H224">
        <v>331</v>
      </c>
      <c r="I224" t="s">
        <v>610</v>
      </c>
      <c r="O224" t="str">
        <f t="shared" si="6"/>
        <v>Q4 2015</v>
      </c>
      <c r="P224" s="1">
        <f t="shared" si="7"/>
        <v>42278</v>
      </c>
      <c r="Q224" t="s">
        <v>611</v>
      </c>
    </row>
    <row r="225" spans="1:17">
      <c r="A225" t="s">
        <v>612</v>
      </c>
      <c r="B225">
        <v>661940</v>
      </c>
      <c r="C225" t="s">
        <v>27</v>
      </c>
      <c r="D225">
        <v>0</v>
      </c>
      <c r="E225">
        <v>20</v>
      </c>
      <c r="F225" t="s">
        <v>368</v>
      </c>
      <c r="G225" s="1">
        <v>43313</v>
      </c>
      <c r="H225">
        <v>221</v>
      </c>
      <c r="I225" t="s">
        <v>278</v>
      </c>
      <c r="J225">
        <v>174</v>
      </c>
      <c r="O225" t="str">
        <f t="shared" si="6"/>
        <v>Q3 2018</v>
      </c>
      <c r="P225" s="1">
        <f t="shared" si="7"/>
        <v>43282</v>
      </c>
      <c r="Q225" t="s">
        <v>613</v>
      </c>
    </row>
    <row r="226" spans="1:17">
      <c r="A226" t="s">
        <v>614</v>
      </c>
      <c r="B226">
        <v>589510</v>
      </c>
      <c r="C226" t="s">
        <v>27</v>
      </c>
      <c r="D226">
        <v>1</v>
      </c>
      <c r="E226">
        <v>20</v>
      </c>
      <c r="F226" t="s">
        <v>368</v>
      </c>
      <c r="G226" s="1">
        <v>42830</v>
      </c>
      <c r="H226">
        <v>450</v>
      </c>
      <c r="I226" t="s">
        <v>615</v>
      </c>
      <c r="J226">
        <v>190</v>
      </c>
      <c r="K226">
        <v>247</v>
      </c>
      <c r="L226">
        <v>275</v>
      </c>
      <c r="M226">
        <v>64</v>
      </c>
      <c r="N226">
        <v>483</v>
      </c>
      <c r="O226" t="str">
        <f t="shared" si="6"/>
        <v>Q2 2017</v>
      </c>
      <c r="P226" s="1">
        <f t="shared" si="7"/>
        <v>42826</v>
      </c>
      <c r="Q226" t="s">
        <v>616</v>
      </c>
    </row>
    <row r="227" spans="1:17">
      <c r="A227" t="s">
        <v>617</v>
      </c>
      <c r="B227">
        <v>589780</v>
      </c>
      <c r="C227" t="s">
        <v>27</v>
      </c>
      <c r="D227">
        <v>0</v>
      </c>
      <c r="E227">
        <v>19</v>
      </c>
      <c r="F227" t="s">
        <v>368</v>
      </c>
      <c r="G227" s="1">
        <v>43122</v>
      </c>
      <c r="H227">
        <v>12626</v>
      </c>
      <c r="I227" t="s">
        <v>47</v>
      </c>
      <c r="J227">
        <v>216</v>
      </c>
      <c r="K227">
        <v>340</v>
      </c>
      <c r="L227">
        <v>240</v>
      </c>
      <c r="M227">
        <v>71</v>
      </c>
      <c r="N227">
        <v>438</v>
      </c>
      <c r="O227" t="str">
        <f t="shared" si="6"/>
        <v>Q1 2018</v>
      </c>
      <c r="P227" s="1">
        <f t="shared" si="7"/>
        <v>43101</v>
      </c>
      <c r="Q227" t="s">
        <v>618</v>
      </c>
    </row>
    <row r="228" spans="1:17">
      <c r="A228" t="s">
        <v>619</v>
      </c>
      <c r="B228">
        <v>445980</v>
      </c>
      <c r="C228" t="s">
        <v>27</v>
      </c>
      <c r="D228">
        <v>0</v>
      </c>
      <c r="E228">
        <v>19</v>
      </c>
      <c r="F228" t="s">
        <v>368</v>
      </c>
      <c r="G228" s="1">
        <v>43235</v>
      </c>
      <c r="H228">
        <v>17271</v>
      </c>
      <c r="I228" t="s">
        <v>620</v>
      </c>
      <c r="J228">
        <v>238</v>
      </c>
      <c r="K228">
        <v>61</v>
      </c>
      <c r="L228">
        <v>556</v>
      </c>
      <c r="M228">
        <v>70</v>
      </c>
      <c r="N228">
        <v>1669</v>
      </c>
      <c r="O228" t="str">
        <f t="shared" si="6"/>
        <v>Q2 2018</v>
      </c>
      <c r="P228" s="1">
        <f t="shared" si="7"/>
        <v>43191</v>
      </c>
      <c r="Q228" t="s">
        <v>621</v>
      </c>
    </row>
    <row r="229" spans="1:17">
      <c r="A229" t="s">
        <v>622</v>
      </c>
      <c r="B229">
        <v>315460</v>
      </c>
      <c r="C229" t="s">
        <v>27</v>
      </c>
      <c r="D229">
        <v>0</v>
      </c>
      <c r="E229">
        <v>18</v>
      </c>
      <c r="F229" t="s">
        <v>368</v>
      </c>
      <c r="G229" s="1">
        <v>43291</v>
      </c>
      <c r="H229">
        <v>3852</v>
      </c>
      <c r="I229" t="s">
        <v>623</v>
      </c>
      <c r="J229">
        <v>67</v>
      </c>
      <c r="K229">
        <v>9</v>
      </c>
      <c r="L229">
        <v>831</v>
      </c>
      <c r="M229">
        <v>1</v>
      </c>
      <c r="N229">
        <v>2134</v>
      </c>
      <c r="O229" t="str">
        <f t="shared" si="6"/>
        <v>Q3 2018</v>
      </c>
      <c r="P229" s="1">
        <f t="shared" si="7"/>
        <v>43282</v>
      </c>
      <c r="Q229" t="s">
        <v>624</v>
      </c>
    </row>
    <row r="230" spans="1:17">
      <c r="A230" t="s">
        <v>625</v>
      </c>
      <c r="B230">
        <v>322450</v>
      </c>
      <c r="C230" t="s">
        <v>27</v>
      </c>
      <c r="D230">
        <v>0</v>
      </c>
      <c r="E230">
        <v>18</v>
      </c>
      <c r="F230" t="s">
        <v>368</v>
      </c>
      <c r="G230" s="1">
        <v>43237</v>
      </c>
      <c r="H230">
        <v>2291</v>
      </c>
      <c r="I230" t="s">
        <v>200</v>
      </c>
      <c r="J230">
        <v>93</v>
      </c>
      <c r="K230">
        <v>116</v>
      </c>
      <c r="L230">
        <v>174</v>
      </c>
      <c r="M230">
        <v>124</v>
      </c>
      <c r="N230">
        <v>209</v>
      </c>
      <c r="O230" t="str">
        <f t="shared" si="6"/>
        <v>Q2 2018</v>
      </c>
      <c r="P230" s="1">
        <f t="shared" si="7"/>
        <v>43191</v>
      </c>
      <c r="Q230" t="s">
        <v>626</v>
      </c>
    </row>
    <row r="231" spans="1:17">
      <c r="A231" t="s">
        <v>627</v>
      </c>
      <c r="B231">
        <v>297120</v>
      </c>
      <c r="C231" t="s">
        <v>27</v>
      </c>
      <c r="D231">
        <v>0</v>
      </c>
      <c r="E231">
        <v>17</v>
      </c>
      <c r="F231" t="s">
        <v>368</v>
      </c>
      <c r="G231" s="1">
        <v>41900</v>
      </c>
      <c r="H231">
        <v>1259</v>
      </c>
      <c r="I231" t="s">
        <v>47</v>
      </c>
      <c r="J231">
        <v>112</v>
      </c>
      <c r="K231">
        <v>13</v>
      </c>
      <c r="L231">
        <v>440</v>
      </c>
      <c r="M231">
        <v>1</v>
      </c>
      <c r="N231">
        <v>1440</v>
      </c>
      <c r="O231" t="str">
        <f t="shared" si="6"/>
        <v>Q3 2014</v>
      </c>
      <c r="P231" s="1">
        <f t="shared" si="7"/>
        <v>41821</v>
      </c>
      <c r="Q231" t="s">
        <v>628</v>
      </c>
    </row>
    <row r="232" spans="1:17">
      <c r="A232" t="s">
        <v>629</v>
      </c>
      <c r="B232">
        <v>274270</v>
      </c>
      <c r="C232" t="s">
        <v>27</v>
      </c>
      <c r="D232">
        <v>0</v>
      </c>
      <c r="E232">
        <v>17</v>
      </c>
      <c r="F232" t="s">
        <v>368</v>
      </c>
      <c r="G232" s="1">
        <v>42559</v>
      </c>
      <c r="H232">
        <v>1630</v>
      </c>
      <c r="I232" t="s">
        <v>47</v>
      </c>
      <c r="J232">
        <v>154</v>
      </c>
      <c r="K232">
        <v>37</v>
      </c>
      <c r="L232">
        <v>309</v>
      </c>
      <c r="M232">
        <v>32</v>
      </c>
      <c r="N232">
        <v>636</v>
      </c>
      <c r="O232" t="str">
        <f t="shared" si="6"/>
        <v>Q3 2016</v>
      </c>
      <c r="P232" s="1">
        <f t="shared" si="7"/>
        <v>42552</v>
      </c>
      <c r="Q232" t="s">
        <v>630</v>
      </c>
    </row>
    <row r="233" spans="1:17">
      <c r="A233" t="s">
        <v>631</v>
      </c>
      <c r="B233">
        <v>600990</v>
      </c>
      <c r="C233" t="s">
        <v>27</v>
      </c>
      <c r="D233">
        <v>0</v>
      </c>
      <c r="E233">
        <v>17</v>
      </c>
      <c r="F233" t="s">
        <v>368</v>
      </c>
      <c r="G233" s="1">
        <v>43362</v>
      </c>
      <c r="H233">
        <v>2348</v>
      </c>
      <c r="I233" t="s">
        <v>632</v>
      </c>
      <c r="J233">
        <v>213</v>
      </c>
      <c r="K233">
        <v>407</v>
      </c>
      <c r="L233">
        <v>150</v>
      </c>
      <c r="M233">
        <v>420</v>
      </c>
      <c r="N233">
        <v>166</v>
      </c>
      <c r="O233" t="str">
        <f t="shared" si="6"/>
        <v>Q3 2018</v>
      </c>
      <c r="P233" s="1">
        <f t="shared" si="7"/>
        <v>43282</v>
      </c>
      <c r="Q233" t="s">
        <v>633</v>
      </c>
    </row>
    <row r="234" spans="1:17">
      <c r="A234" t="s">
        <v>634</v>
      </c>
      <c r="B234">
        <v>266110</v>
      </c>
      <c r="C234" t="s">
        <v>27</v>
      </c>
      <c r="D234">
        <v>0</v>
      </c>
      <c r="E234">
        <v>17</v>
      </c>
      <c r="F234" t="s">
        <v>368</v>
      </c>
      <c r="G234" s="1">
        <v>41702</v>
      </c>
      <c r="H234">
        <v>524</v>
      </c>
      <c r="I234" t="s">
        <v>635</v>
      </c>
      <c r="J234">
        <v>228</v>
      </c>
      <c r="K234">
        <v>35</v>
      </c>
      <c r="L234">
        <v>162</v>
      </c>
      <c r="M234">
        <v>21</v>
      </c>
      <c r="N234">
        <v>842</v>
      </c>
      <c r="O234" t="str">
        <f t="shared" si="6"/>
        <v>Q1 2014</v>
      </c>
      <c r="P234" s="1">
        <f t="shared" si="7"/>
        <v>41640</v>
      </c>
      <c r="Q234" t="s">
        <v>636</v>
      </c>
    </row>
    <row r="235" spans="1:17">
      <c r="A235" t="s">
        <v>637</v>
      </c>
      <c r="B235">
        <v>311340</v>
      </c>
      <c r="C235" t="s">
        <v>27</v>
      </c>
      <c r="D235">
        <v>0</v>
      </c>
      <c r="E235">
        <v>16</v>
      </c>
      <c r="F235" t="s">
        <v>368</v>
      </c>
      <c r="G235" s="1">
        <v>41991</v>
      </c>
      <c r="H235">
        <v>13319</v>
      </c>
      <c r="I235" t="s">
        <v>80</v>
      </c>
      <c r="J235">
        <v>140</v>
      </c>
      <c r="K235">
        <v>1900</v>
      </c>
      <c r="L235">
        <v>117</v>
      </c>
      <c r="M235">
        <v>309</v>
      </c>
      <c r="N235">
        <v>1312</v>
      </c>
      <c r="O235" t="str">
        <f t="shared" si="6"/>
        <v>Q4 2014</v>
      </c>
      <c r="P235" s="1">
        <f t="shared" si="7"/>
        <v>41913</v>
      </c>
      <c r="Q235" t="s">
        <v>638</v>
      </c>
    </row>
    <row r="236" spans="1:17">
      <c r="A236" t="s">
        <v>639</v>
      </c>
      <c r="B236">
        <v>274520</v>
      </c>
      <c r="C236" t="s">
        <v>27</v>
      </c>
      <c r="D236">
        <v>0</v>
      </c>
      <c r="E236">
        <v>15</v>
      </c>
      <c r="F236" t="s">
        <v>368</v>
      </c>
      <c r="G236" s="1">
        <v>42964</v>
      </c>
      <c r="H236">
        <v>21828</v>
      </c>
      <c r="I236" t="s">
        <v>640</v>
      </c>
      <c r="J236">
        <v>52</v>
      </c>
      <c r="K236">
        <v>62</v>
      </c>
      <c r="L236">
        <v>1132</v>
      </c>
      <c r="M236">
        <v>17</v>
      </c>
      <c r="N236">
        <v>2497</v>
      </c>
      <c r="O236" t="str">
        <f t="shared" si="6"/>
        <v>Q3 2017</v>
      </c>
      <c r="P236" s="1">
        <f t="shared" si="7"/>
        <v>42917</v>
      </c>
      <c r="Q236" t="s">
        <v>641</v>
      </c>
    </row>
    <row r="237" spans="1:17">
      <c r="A237" t="s">
        <v>642</v>
      </c>
      <c r="B237">
        <v>1086010</v>
      </c>
      <c r="C237" t="s">
        <v>27</v>
      </c>
      <c r="D237">
        <v>0</v>
      </c>
      <c r="E237">
        <v>14</v>
      </c>
      <c r="F237" t="s">
        <v>368</v>
      </c>
      <c r="G237" s="1">
        <v>43636</v>
      </c>
      <c r="H237">
        <v>600</v>
      </c>
      <c r="I237" t="s">
        <v>643</v>
      </c>
      <c r="J237">
        <v>0</v>
      </c>
      <c r="K237">
        <v>291</v>
      </c>
      <c r="L237">
        <v>97</v>
      </c>
      <c r="M237">
        <v>41</v>
      </c>
      <c r="N237">
        <v>155</v>
      </c>
      <c r="O237" t="str">
        <f t="shared" si="6"/>
        <v>Q2 2019</v>
      </c>
      <c r="P237" s="1">
        <f t="shared" si="7"/>
        <v>43556</v>
      </c>
      <c r="Q237" t="s">
        <v>644</v>
      </c>
    </row>
    <row r="238" spans="1:17">
      <c r="A238" t="s">
        <v>645</v>
      </c>
      <c r="B238">
        <v>1085510</v>
      </c>
      <c r="C238" t="s">
        <v>27</v>
      </c>
      <c r="D238">
        <v>0</v>
      </c>
      <c r="E238">
        <v>14</v>
      </c>
      <c r="F238" t="s">
        <v>368</v>
      </c>
      <c r="G238" s="1">
        <v>43775</v>
      </c>
      <c r="H238">
        <v>10445</v>
      </c>
      <c r="I238" t="s">
        <v>646</v>
      </c>
      <c r="J238">
        <v>97</v>
      </c>
      <c r="K238">
        <v>35</v>
      </c>
      <c r="L238">
        <v>132</v>
      </c>
      <c r="M238">
        <v>36</v>
      </c>
      <c r="N238">
        <v>749</v>
      </c>
      <c r="O238" t="str">
        <f t="shared" si="6"/>
        <v>Q4 2019</v>
      </c>
      <c r="P238" s="1">
        <f t="shared" si="7"/>
        <v>43739</v>
      </c>
      <c r="Q238" t="s">
        <v>647</v>
      </c>
    </row>
    <row r="239" spans="1:17">
      <c r="A239" t="s">
        <v>648</v>
      </c>
      <c r="B239">
        <v>489140</v>
      </c>
      <c r="C239" t="s">
        <v>27</v>
      </c>
      <c r="D239">
        <v>0</v>
      </c>
      <c r="E239">
        <v>14</v>
      </c>
      <c r="F239" t="s">
        <v>368</v>
      </c>
      <c r="G239" s="1">
        <v>42838</v>
      </c>
      <c r="H239">
        <v>852</v>
      </c>
      <c r="I239" t="s">
        <v>577</v>
      </c>
      <c r="J239">
        <v>149</v>
      </c>
      <c r="K239">
        <v>137</v>
      </c>
      <c r="L239">
        <v>246</v>
      </c>
      <c r="M239">
        <v>21</v>
      </c>
      <c r="N239">
        <v>543</v>
      </c>
      <c r="O239" t="str">
        <f t="shared" si="6"/>
        <v>Q2 2017</v>
      </c>
      <c r="P239" s="1">
        <f t="shared" si="7"/>
        <v>42826</v>
      </c>
      <c r="Q239" t="s">
        <v>649</v>
      </c>
    </row>
    <row r="240" spans="1:17">
      <c r="A240" t="s">
        <v>650</v>
      </c>
      <c r="B240">
        <v>690040</v>
      </c>
      <c r="C240" t="s">
        <v>27</v>
      </c>
      <c r="D240">
        <v>0</v>
      </c>
      <c r="E240">
        <v>14</v>
      </c>
      <c r="F240" t="s">
        <v>368</v>
      </c>
      <c r="G240" s="1">
        <v>44028</v>
      </c>
      <c r="H240">
        <v>9193</v>
      </c>
      <c r="I240" t="s">
        <v>582</v>
      </c>
      <c r="J240">
        <v>207</v>
      </c>
      <c r="K240">
        <v>116</v>
      </c>
      <c r="L240">
        <v>444</v>
      </c>
      <c r="M240">
        <v>193</v>
      </c>
      <c r="N240">
        <v>905</v>
      </c>
      <c r="O240" t="str">
        <f t="shared" si="6"/>
        <v>Q3 2020</v>
      </c>
      <c r="P240" s="1">
        <f t="shared" si="7"/>
        <v>44013</v>
      </c>
      <c r="Q240" t="s">
        <v>651</v>
      </c>
    </row>
    <row r="241" spans="1:17">
      <c r="A241" t="s">
        <v>652</v>
      </c>
      <c r="B241">
        <v>225080</v>
      </c>
      <c r="C241" t="s">
        <v>27</v>
      </c>
      <c r="D241">
        <v>0</v>
      </c>
      <c r="E241">
        <v>12</v>
      </c>
      <c r="F241" t="s">
        <v>368</v>
      </c>
      <c r="G241" s="1">
        <v>41520</v>
      </c>
      <c r="H241">
        <v>33738</v>
      </c>
      <c r="I241" t="s">
        <v>653</v>
      </c>
      <c r="J241">
        <v>33</v>
      </c>
      <c r="K241">
        <v>2300</v>
      </c>
      <c r="L241">
        <v>189</v>
      </c>
      <c r="M241">
        <v>1400</v>
      </c>
      <c r="N241">
        <v>245</v>
      </c>
      <c r="O241" t="str">
        <f t="shared" si="6"/>
        <v>Q3 2013</v>
      </c>
      <c r="P241" s="1">
        <f t="shared" si="7"/>
        <v>41456</v>
      </c>
      <c r="Q241" t="s">
        <v>654</v>
      </c>
    </row>
    <row r="242" spans="1:17">
      <c r="A242" t="s">
        <v>655</v>
      </c>
      <c r="B242">
        <v>224760</v>
      </c>
      <c r="C242" t="s">
        <v>27</v>
      </c>
      <c r="D242">
        <v>0</v>
      </c>
      <c r="E242">
        <v>12</v>
      </c>
      <c r="F242" t="s">
        <v>368</v>
      </c>
      <c r="G242" s="1">
        <v>41395</v>
      </c>
      <c r="H242">
        <v>11589</v>
      </c>
      <c r="I242" t="s">
        <v>656</v>
      </c>
      <c r="J242">
        <v>90</v>
      </c>
      <c r="K242">
        <v>553</v>
      </c>
      <c r="L242">
        <v>355</v>
      </c>
      <c r="M242">
        <v>657</v>
      </c>
      <c r="N242">
        <v>728</v>
      </c>
      <c r="O242" t="str">
        <f t="shared" si="6"/>
        <v>Q2 2013</v>
      </c>
      <c r="P242" s="1">
        <f t="shared" si="7"/>
        <v>41365</v>
      </c>
      <c r="Q242" t="s">
        <v>657</v>
      </c>
    </row>
    <row r="243" spans="1:17">
      <c r="A243" t="s">
        <v>658</v>
      </c>
      <c r="B243">
        <v>916730</v>
      </c>
      <c r="C243" t="s">
        <v>27</v>
      </c>
      <c r="D243">
        <v>0</v>
      </c>
      <c r="E243">
        <v>12</v>
      </c>
      <c r="F243" t="s">
        <v>368</v>
      </c>
      <c r="G243" s="1">
        <v>43615</v>
      </c>
      <c r="H243">
        <v>4305</v>
      </c>
      <c r="I243" t="s">
        <v>47</v>
      </c>
      <c r="J243">
        <v>99</v>
      </c>
      <c r="K243">
        <v>287</v>
      </c>
      <c r="L243">
        <v>207</v>
      </c>
      <c r="M243">
        <v>255</v>
      </c>
      <c r="N243">
        <v>279</v>
      </c>
      <c r="O243" t="str">
        <f t="shared" si="6"/>
        <v>Q2 2019</v>
      </c>
      <c r="P243" s="1">
        <f t="shared" si="7"/>
        <v>43556</v>
      </c>
      <c r="Q243" t="s">
        <v>659</v>
      </c>
    </row>
    <row r="244" spans="1:17">
      <c r="A244" t="s">
        <v>660</v>
      </c>
      <c r="B244">
        <v>40700</v>
      </c>
      <c r="C244" t="s">
        <v>27</v>
      </c>
      <c r="D244">
        <v>0</v>
      </c>
      <c r="E244">
        <v>12</v>
      </c>
      <c r="F244" t="s">
        <v>368</v>
      </c>
      <c r="G244" s="1">
        <v>40102</v>
      </c>
      <c r="H244">
        <v>17092</v>
      </c>
      <c r="I244" t="s">
        <v>661</v>
      </c>
      <c r="J244">
        <v>132</v>
      </c>
      <c r="K244">
        <v>478</v>
      </c>
      <c r="L244">
        <v>313</v>
      </c>
      <c r="M244">
        <v>452</v>
      </c>
      <c r="N244">
        <v>331</v>
      </c>
      <c r="O244" t="str">
        <f t="shared" si="6"/>
        <v>Q4 2009</v>
      </c>
      <c r="P244" s="1">
        <f t="shared" si="7"/>
        <v>40087</v>
      </c>
      <c r="Q244" t="s">
        <v>662</v>
      </c>
    </row>
    <row r="245" spans="1:17">
      <c r="A245" t="s">
        <v>663</v>
      </c>
      <c r="B245">
        <v>274250</v>
      </c>
      <c r="C245" t="s">
        <v>27</v>
      </c>
      <c r="D245">
        <v>0</v>
      </c>
      <c r="E245">
        <v>12</v>
      </c>
      <c r="F245" t="s">
        <v>368</v>
      </c>
      <c r="G245" s="1">
        <v>41842</v>
      </c>
      <c r="H245">
        <v>420</v>
      </c>
      <c r="I245" t="s">
        <v>47</v>
      </c>
      <c r="J245">
        <v>156</v>
      </c>
      <c r="K245">
        <v>64</v>
      </c>
      <c r="L245">
        <v>232</v>
      </c>
      <c r="M245">
        <v>18</v>
      </c>
      <c r="N245">
        <v>857</v>
      </c>
      <c r="O245" t="str">
        <f t="shared" si="6"/>
        <v>Q3 2014</v>
      </c>
      <c r="P245" s="1">
        <f t="shared" si="7"/>
        <v>41821</v>
      </c>
      <c r="Q245" t="s">
        <v>664</v>
      </c>
    </row>
    <row r="246" spans="1:17">
      <c r="A246" t="s">
        <v>665</v>
      </c>
      <c r="B246">
        <v>365450</v>
      </c>
      <c r="C246" t="s">
        <v>27</v>
      </c>
      <c r="D246">
        <v>0</v>
      </c>
      <c r="E246">
        <v>11</v>
      </c>
      <c r="F246" t="s">
        <v>368</v>
      </c>
      <c r="G246" s="1">
        <v>42228</v>
      </c>
      <c r="H246">
        <v>16749</v>
      </c>
      <c r="I246" t="s">
        <v>200</v>
      </c>
      <c r="J246">
        <v>104</v>
      </c>
      <c r="K246">
        <v>175</v>
      </c>
      <c r="L246">
        <v>443</v>
      </c>
      <c r="M246">
        <v>182</v>
      </c>
      <c r="N246">
        <v>700</v>
      </c>
      <c r="O246" t="str">
        <f t="shared" si="6"/>
        <v>Q3 2015</v>
      </c>
      <c r="P246" s="1">
        <f t="shared" si="7"/>
        <v>42186</v>
      </c>
      <c r="Q246" t="s">
        <v>666</v>
      </c>
    </row>
    <row r="247" spans="1:17">
      <c r="A247" t="s">
        <v>667</v>
      </c>
      <c r="B247">
        <v>447780</v>
      </c>
      <c r="C247" t="s">
        <v>27</v>
      </c>
      <c r="D247">
        <v>0</v>
      </c>
      <c r="E247">
        <v>11</v>
      </c>
      <c r="F247" t="s">
        <v>368</v>
      </c>
      <c r="G247" s="1">
        <v>42453</v>
      </c>
      <c r="H247">
        <v>563</v>
      </c>
      <c r="I247" t="s">
        <v>555</v>
      </c>
      <c r="J247">
        <v>131</v>
      </c>
      <c r="K247">
        <v>30</v>
      </c>
      <c r="L247">
        <v>141</v>
      </c>
      <c r="M247">
        <v>67</v>
      </c>
      <c r="N247">
        <v>165</v>
      </c>
      <c r="O247" t="str">
        <f t="shared" si="6"/>
        <v>Q1 2016</v>
      </c>
      <c r="P247" s="1">
        <f t="shared" si="7"/>
        <v>42370</v>
      </c>
      <c r="Q247" t="s">
        <v>668</v>
      </c>
    </row>
    <row r="248" spans="1:17">
      <c r="A248" t="s">
        <v>669</v>
      </c>
      <c r="B248">
        <v>351510</v>
      </c>
      <c r="C248" t="s">
        <v>27</v>
      </c>
      <c r="D248">
        <v>0</v>
      </c>
      <c r="E248">
        <v>10</v>
      </c>
      <c r="F248" t="s">
        <v>368</v>
      </c>
      <c r="G248" s="1">
        <v>42185</v>
      </c>
      <c r="H248">
        <v>992</v>
      </c>
      <c r="I248" t="s">
        <v>306</v>
      </c>
      <c r="J248">
        <v>172</v>
      </c>
      <c r="O248" t="str">
        <f t="shared" si="6"/>
        <v>Q2 2015</v>
      </c>
      <c r="P248" s="1">
        <f t="shared" si="7"/>
        <v>42095</v>
      </c>
      <c r="Q248" t="s">
        <v>670</v>
      </c>
    </row>
    <row r="249" spans="1:17">
      <c r="A249" t="s">
        <v>671</v>
      </c>
      <c r="B249">
        <v>22000</v>
      </c>
      <c r="C249" t="s">
        <v>27</v>
      </c>
      <c r="D249">
        <v>0</v>
      </c>
      <c r="E249">
        <v>8</v>
      </c>
      <c r="F249" t="s">
        <v>368</v>
      </c>
      <c r="G249" s="1">
        <v>39734</v>
      </c>
      <c r="H249">
        <v>4801</v>
      </c>
      <c r="I249" t="s">
        <v>672</v>
      </c>
      <c r="J249">
        <v>240</v>
      </c>
      <c r="K249">
        <v>292</v>
      </c>
      <c r="L249">
        <v>361</v>
      </c>
      <c r="M249">
        <v>51</v>
      </c>
      <c r="N249">
        <v>885</v>
      </c>
      <c r="O249" t="str">
        <f t="shared" si="6"/>
        <v>Q4 2008</v>
      </c>
      <c r="P249" s="1">
        <f t="shared" si="7"/>
        <v>39722</v>
      </c>
      <c r="Q249" t="s">
        <v>673</v>
      </c>
    </row>
    <row r="250" spans="1:17">
      <c r="A250" t="s">
        <v>674</v>
      </c>
      <c r="B250">
        <v>664830</v>
      </c>
      <c r="C250" t="s">
        <v>27</v>
      </c>
      <c r="D250">
        <v>0</v>
      </c>
      <c r="E250">
        <v>8</v>
      </c>
      <c r="F250" t="s">
        <v>368</v>
      </c>
      <c r="G250" s="1">
        <v>43577</v>
      </c>
      <c r="H250">
        <v>2930</v>
      </c>
      <c r="I250" t="s">
        <v>675</v>
      </c>
      <c r="J250">
        <v>244</v>
      </c>
      <c r="K250">
        <v>12</v>
      </c>
      <c r="L250">
        <v>409</v>
      </c>
      <c r="M250">
        <v>12</v>
      </c>
      <c r="N250">
        <v>488</v>
      </c>
      <c r="O250" t="str">
        <f t="shared" si="6"/>
        <v>Q2 2019</v>
      </c>
      <c r="P250" s="1">
        <f t="shared" si="7"/>
        <v>43556</v>
      </c>
      <c r="Q250" t="s">
        <v>676</v>
      </c>
    </row>
    <row r="251" spans="1:17">
      <c r="A251" t="s">
        <v>677</v>
      </c>
      <c r="B251">
        <v>409160</v>
      </c>
      <c r="C251" t="s">
        <v>27</v>
      </c>
      <c r="D251">
        <v>3</v>
      </c>
      <c r="E251">
        <v>6</v>
      </c>
      <c r="F251" t="s">
        <v>368</v>
      </c>
      <c r="G251" s="1">
        <v>42342</v>
      </c>
      <c r="H251">
        <v>10141</v>
      </c>
      <c r="I251" t="s">
        <v>678</v>
      </c>
      <c r="O251" t="str">
        <f t="shared" si="6"/>
        <v>Q4 2015</v>
      </c>
      <c r="P251" s="1">
        <f t="shared" si="7"/>
        <v>42278</v>
      </c>
      <c r="Q251" t="s">
        <v>679</v>
      </c>
    </row>
    <row r="252" spans="1:17">
      <c r="A252" t="s">
        <v>680</v>
      </c>
      <c r="B252">
        <v>963000</v>
      </c>
      <c r="C252" t="s">
        <v>27</v>
      </c>
      <c r="D252">
        <v>0</v>
      </c>
      <c r="E252">
        <v>6</v>
      </c>
      <c r="F252" t="s">
        <v>368</v>
      </c>
      <c r="G252" s="1">
        <v>43426</v>
      </c>
      <c r="H252">
        <v>3001</v>
      </c>
      <c r="I252" t="s">
        <v>681</v>
      </c>
      <c r="J252">
        <v>94</v>
      </c>
      <c r="K252">
        <v>263</v>
      </c>
      <c r="L252">
        <v>45</v>
      </c>
      <c r="M252">
        <v>586</v>
      </c>
      <c r="N252">
        <v>48</v>
      </c>
      <c r="O252" t="str">
        <f t="shared" si="6"/>
        <v>Q4 2018</v>
      </c>
      <c r="P252" s="1">
        <f t="shared" si="7"/>
        <v>43374</v>
      </c>
      <c r="Q252" t="s">
        <v>682</v>
      </c>
    </row>
    <row r="253" spans="1:17">
      <c r="A253" t="s">
        <v>683</v>
      </c>
      <c r="B253">
        <v>1168880</v>
      </c>
      <c r="C253" t="s">
        <v>27</v>
      </c>
      <c r="D253">
        <v>0</v>
      </c>
      <c r="E253">
        <v>6</v>
      </c>
      <c r="F253" t="s">
        <v>368</v>
      </c>
      <c r="G253" s="1">
        <v>43788</v>
      </c>
      <c r="H253">
        <v>517</v>
      </c>
      <c r="I253" t="s">
        <v>303</v>
      </c>
      <c r="J253">
        <v>145</v>
      </c>
      <c r="K253">
        <v>11</v>
      </c>
      <c r="L253">
        <v>696</v>
      </c>
      <c r="M253">
        <v>11</v>
      </c>
      <c r="N253">
        <v>1566</v>
      </c>
      <c r="O253" t="str">
        <f t="shared" si="6"/>
        <v>Q4 2019</v>
      </c>
      <c r="P253" s="1">
        <f t="shared" si="7"/>
        <v>43739</v>
      </c>
      <c r="Q253" t="s">
        <v>684</v>
      </c>
    </row>
    <row r="254" spans="1:17">
      <c r="A254" t="s">
        <v>685</v>
      </c>
      <c r="B254">
        <v>210970</v>
      </c>
      <c r="C254" t="s">
        <v>27</v>
      </c>
      <c r="D254">
        <v>0</v>
      </c>
      <c r="E254">
        <v>2</v>
      </c>
      <c r="F254" t="s">
        <v>368</v>
      </c>
      <c r="G254" s="1">
        <v>42395</v>
      </c>
      <c r="H254">
        <v>16922</v>
      </c>
      <c r="I254" t="s">
        <v>686</v>
      </c>
      <c r="J254">
        <v>221</v>
      </c>
      <c r="K254">
        <v>512</v>
      </c>
      <c r="L254">
        <v>1026</v>
      </c>
      <c r="M254">
        <v>227</v>
      </c>
      <c r="N254">
        <v>2388</v>
      </c>
      <c r="O254" t="str">
        <f t="shared" si="6"/>
        <v>Q1 2016</v>
      </c>
      <c r="P254" s="1">
        <f t="shared" si="7"/>
        <v>42370</v>
      </c>
      <c r="Q254" t="s">
        <v>687</v>
      </c>
    </row>
    <row r="255" spans="1:17">
      <c r="A255" t="s">
        <v>688</v>
      </c>
      <c r="B255">
        <v>545040</v>
      </c>
      <c r="C255" t="s">
        <v>27</v>
      </c>
      <c r="D255">
        <v>0</v>
      </c>
      <c r="E255">
        <v>1</v>
      </c>
      <c r="F255" t="s">
        <v>368</v>
      </c>
      <c r="G255" s="1">
        <v>43560</v>
      </c>
      <c r="H255">
        <v>492</v>
      </c>
      <c r="I255" t="s">
        <v>689</v>
      </c>
      <c r="J255">
        <v>89</v>
      </c>
      <c r="K255">
        <v>21</v>
      </c>
      <c r="L255">
        <v>30</v>
      </c>
      <c r="M255">
        <v>38</v>
      </c>
      <c r="N255">
        <v>41</v>
      </c>
      <c r="O255" t="str">
        <f t="shared" si="6"/>
        <v>Q2 2019</v>
      </c>
      <c r="P255" s="1">
        <f t="shared" si="7"/>
        <v>43556</v>
      </c>
      <c r="Q255" t="s">
        <v>690</v>
      </c>
    </row>
    <row r="256" spans="1:17">
      <c r="A256" t="s">
        <v>691</v>
      </c>
      <c r="B256">
        <v>7670</v>
      </c>
      <c r="C256" t="s">
        <v>72</v>
      </c>
      <c r="F256" t="s">
        <v>368</v>
      </c>
      <c r="G256" s="1">
        <v>39315</v>
      </c>
      <c r="H256">
        <v>25029</v>
      </c>
      <c r="I256" t="s">
        <v>116</v>
      </c>
      <c r="J256">
        <v>24</v>
      </c>
      <c r="K256">
        <v>3700</v>
      </c>
      <c r="L256">
        <v>733</v>
      </c>
      <c r="M256">
        <v>805</v>
      </c>
      <c r="N256">
        <v>1456</v>
      </c>
      <c r="O256" t="str">
        <f t="shared" si="6"/>
        <v>Q3 2007</v>
      </c>
      <c r="P256" s="1">
        <f t="shared" si="7"/>
        <v>39264</v>
      </c>
      <c r="Q256" t="s">
        <v>692</v>
      </c>
    </row>
    <row r="257" spans="1:17">
      <c r="A257" t="s">
        <v>693</v>
      </c>
      <c r="B257">
        <v>1276390</v>
      </c>
      <c r="C257" t="s">
        <v>72</v>
      </c>
      <c r="F257" t="s">
        <v>368</v>
      </c>
      <c r="G257" s="1">
        <v>44530</v>
      </c>
      <c r="H257">
        <v>33949</v>
      </c>
      <c r="I257" t="s">
        <v>210</v>
      </c>
      <c r="O257" t="str">
        <f t="shared" si="6"/>
        <v>Q4 2021</v>
      </c>
      <c r="P257" s="1">
        <f t="shared" si="7"/>
        <v>44470</v>
      </c>
      <c r="Q257" t="s">
        <v>694</v>
      </c>
    </row>
    <row r="258" spans="1:17">
      <c r="A258" t="s">
        <v>695</v>
      </c>
      <c r="B258">
        <v>638200</v>
      </c>
      <c r="C258" t="s">
        <v>72</v>
      </c>
      <c r="F258" t="s">
        <v>368</v>
      </c>
      <c r="G258" s="1">
        <v>37242</v>
      </c>
      <c r="H258">
        <v>442</v>
      </c>
      <c r="I258" t="s">
        <v>696</v>
      </c>
      <c r="J258">
        <v>34</v>
      </c>
      <c r="K258">
        <v>1</v>
      </c>
      <c r="L258">
        <v>3200</v>
      </c>
      <c r="O258" t="str">
        <f t="shared" ref="O258:O270" si="8">"Q"&amp;ROUNDUP(MONTH(G258)/3,0)&amp;" "&amp;YEAR(G258)</f>
        <v>Q4 2001</v>
      </c>
      <c r="P258" s="1">
        <f t="shared" ref="P258:P270" si="9">DATE(YEAR(G258),3*ROUNDUP(MONTH(G258)/3,0)-2,1)</f>
        <v>37165</v>
      </c>
      <c r="Q258" t="s">
        <v>697</v>
      </c>
    </row>
    <row r="259" spans="1:17">
      <c r="A259" t="s">
        <v>698</v>
      </c>
      <c r="B259">
        <v>25800</v>
      </c>
      <c r="C259" t="s">
        <v>72</v>
      </c>
      <c r="F259" t="s">
        <v>368</v>
      </c>
      <c r="G259" s="1">
        <v>39105</v>
      </c>
      <c r="H259">
        <v>1369</v>
      </c>
      <c r="I259" t="s">
        <v>75</v>
      </c>
      <c r="J259">
        <v>81</v>
      </c>
      <c r="K259">
        <v>8</v>
      </c>
      <c r="L259">
        <v>4794</v>
      </c>
      <c r="M259">
        <v>4</v>
      </c>
      <c r="N259">
        <v>18594</v>
      </c>
      <c r="O259" t="str">
        <f t="shared" si="8"/>
        <v>Q1 2007</v>
      </c>
      <c r="P259" s="1">
        <f t="shared" si="9"/>
        <v>39083</v>
      </c>
      <c r="Q259" t="s">
        <v>699</v>
      </c>
    </row>
    <row r="260" spans="1:17">
      <c r="A260" t="s">
        <v>700</v>
      </c>
      <c r="B260">
        <v>38410</v>
      </c>
      <c r="C260" t="s">
        <v>72</v>
      </c>
      <c r="F260" t="s">
        <v>368</v>
      </c>
      <c r="G260" s="1">
        <v>36130</v>
      </c>
      <c r="H260">
        <v>13699</v>
      </c>
      <c r="I260" t="s">
        <v>101</v>
      </c>
      <c r="J260">
        <v>86</v>
      </c>
      <c r="K260">
        <v>121</v>
      </c>
      <c r="L260">
        <v>1847</v>
      </c>
      <c r="M260">
        <v>74</v>
      </c>
      <c r="N260">
        <v>5014</v>
      </c>
      <c r="O260" t="str">
        <f t="shared" si="8"/>
        <v>Q4 1998</v>
      </c>
      <c r="P260" s="1">
        <f t="shared" si="9"/>
        <v>36069</v>
      </c>
      <c r="Q260" t="s">
        <v>701</v>
      </c>
    </row>
    <row r="261" spans="1:17">
      <c r="A261" t="s">
        <v>702</v>
      </c>
      <c r="B261">
        <v>320</v>
      </c>
      <c r="C261" t="s">
        <v>72</v>
      </c>
      <c r="F261" t="s">
        <v>368</v>
      </c>
      <c r="G261" s="1">
        <v>38292</v>
      </c>
      <c r="H261">
        <v>10171</v>
      </c>
      <c r="I261" t="s">
        <v>194</v>
      </c>
      <c r="J261">
        <v>107</v>
      </c>
      <c r="O261" t="str">
        <f t="shared" si="8"/>
        <v>Q4 2004</v>
      </c>
      <c r="P261" s="1">
        <f t="shared" si="9"/>
        <v>38261</v>
      </c>
      <c r="Q261" t="s">
        <v>703</v>
      </c>
    </row>
    <row r="262" spans="1:17">
      <c r="A262" t="s">
        <v>704</v>
      </c>
      <c r="B262">
        <v>763410</v>
      </c>
      <c r="C262" t="s">
        <v>72</v>
      </c>
      <c r="F262" t="s">
        <v>368</v>
      </c>
      <c r="G262" s="1">
        <v>43088</v>
      </c>
      <c r="H262">
        <v>3107</v>
      </c>
      <c r="I262" t="s">
        <v>705</v>
      </c>
      <c r="O262" t="str">
        <f t="shared" si="8"/>
        <v>Q4 2017</v>
      </c>
      <c r="P262" s="1">
        <f t="shared" si="9"/>
        <v>43009</v>
      </c>
      <c r="Q262" t="s">
        <v>706</v>
      </c>
    </row>
    <row r="263" spans="1:17">
      <c r="A263" t="s">
        <v>707</v>
      </c>
      <c r="B263">
        <v>235900</v>
      </c>
      <c r="C263" t="s">
        <v>72</v>
      </c>
      <c r="F263" t="s">
        <v>368</v>
      </c>
      <c r="G263" s="1">
        <v>38611</v>
      </c>
      <c r="H263">
        <v>1171</v>
      </c>
      <c r="I263" t="s">
        <v>708</v>
      </c>
      <c r="J263">
        <v>183</v>
      </c>
      <c r="K263">
        <v>2</v>
      </c>
      <c r="L263">
        <v>553</v>
      </c>
      <c r="O263" t="str">
        <f t="shared" si="8"/>
        <v>Q3 2005</v>
      </c>
      <c r="P263" s="1">
        <f t="shared" si="9"/>
        <v>38534</v>
      </c>
      <c r="Q263" t="s">
        <v>709</v>
      </c>
    </row>
    <row r="264" spans="1:17">
      <c r="A264" t="s">
        <v>710</v>
      </c>
      <c r="B264">
        <v>375200</v>
      </c>
      <c r="C264" t="s">
        <v>72</v>
      </c>
      <c r="F264" t="s">
        <v>368</v>
      </c>
      <c r="G264" s="1">
        <v>42153</v>
      </c>
      <c r="H264">
        <v>705</v>
      </c>
      <c r="I264" t="s">
        <v>197</v>
      </c>
      <c r="J264">
        <v>185</v>
      </c>
      <c r="K264">
        <v>25</v>
      </c>
      <c r="L264">
        <v>197</v>
      </c>
      <c r="M264">
        <v>21</v>
      </c>
      <c r="N264">
        <v>266</v>
      </c>
      <c r="O264" t="str">
        <f t="shared" si="8"/>
        <v>Q2 2015</v>
      </c>
      <c r="P264" s="1">
        <f t="shared" si="9"/>
        <v>42095</v>
      </c>
      <c r="Q264" t="s">
        <v>711</v>
      </c>
    </row>
    <row r="265" spans="1:17">
      <c r="A265" t="s">
        <v>712</v>
      </c>
      <c r="B265">
        <v>2868840</v>
      </c>
      <c r="C265" t="s">
        <v>72</v>
      </c>
      <c r="F265" t="s">
        <v>368</v>
      </c>
      <c r="G265" s="1">
        <v>46086</v>
      </c>
      <c r="H265">
        <v>172980</v>
      </c>
      <c r="I265" t="s">
        <v>275</v>
      </c>
      <c r="J265">
        <v>193</v>
      </c>
      <c r="K265">
        <v>52</v>
      </c>
      <c r="L265">
        <v>669</v>
      </c>
      <c r="M265">
        <v>12</v>
      </c>
      <c r="N265">
        <v>6374</v>
      </c>
      <c r="O265" t="str">
        <f t="shared" si="8"/>
        <v>Q1 2026</v>
      </c>
      <c r="P265" s="1">
        <f t="shared" si="9"/>
        <v>46023</v>
      </c>
      <c r="Q265" t="s">
        <v>713</v>
      </c>
    </row>
    <row r="266" spans="1:17">
      <c r="A266" t="s">
        <v>714</v>
      </c>
      <c r="B266">
        <v>225840</v>
      </c>
      <c r="C266" t="s">
        <v>72</v>
      </c>
      <c r="F266" t="s">
        <v>368</v>
      </c>
      <c r="G266" s="1">
        <v>36179</v>
      </c>
      <c r="H266">
        <v>32361</v>
      </c>
      <c r="I266" t="s">
        <v>715</v>
      </c>
      <c r="O266" t="str">
        <f t="shared" si="8"/>
        <v>Q1 1999</v>
      </c>
      <c r="P266" s="1">
        <f t="shared" si="9"/>
        <v>36161</v>
      </c>
      <c r="Q266" t="s">
        <v>716</v>
      </c>
    </row>
    <row r="267" spans="1:17">
      <c r="A267" t="s">
        <v>717</v>
      </c>
      <c r="B267">
        <v>327140</v>
      </c>
      <c r="C267" t="s">
        <v>72</v>
      </c>
      <c r="F267" t="s">
        <v>368</v>
      </c>
      <c r="G267" s="1">
        <v>42465</v>
      </c>
      <c r="H267">
        <v>1206</v>
      </c>
      <c r="I267" t="s">
        <v>718</v>
      </c>
      <c r="O267" t="str">
        <f t="shared" si="8"/>
        <v>Q2 2016</v>
      </c>
      <c r="P267" s="1">
        <f t="shared" si="9"/>
        <v>42461</v>
      </c>
      <c r="Q267" t="s">
        <v>719</v>
      </c>
    </row>
    <row r="268" spans="1:17">
      <c r="A268" t="s">
        <v>720</v>
      </c>
      <c r="B268">
        <v>871720</v>
      </c>
      <c r="C268" t="s">
        <v>72</v>
      </c>
      <c r="F268" t="s">
        <v>368</v>
      </c>
      <c r="G268" s="1">
        <v>43278</v>
      </c>
      <c r="H268">
        <v>62474</v>
      </c>
      <c r="I268" t="s">
        <v>721</v>
      </c>
      <c r="O268" t="str">
        <f t="shared" si="8"/>
        <v>Q2 2018</v>
      </c>
      <c r="P268" s="1">
        <f t="shared" si="9"/>
        <v>43191</v>
      </c>
      <c r="Q268" t="s">
        <v>722</v>
      </c>
    </row>
    <row r="269" spans="1:17">
      <c r="A269" t="s">
        <v>723</v>
      </c>
      <c r="B269">
        <v>42960</v>
      </c>
      <c r="C269" t="s">
        <v>72</v>
      </c>
      <c r="F269" t="s">
        <v>368</v>
      </c>
      <c r="G269" s="1">
        <v>40420</v>
      </c>
      <c r="H269">
        <v>16447</v>
      </c>
      <c r="I269" t="s">
        <v>75</v>
      </c>
      <c r="J269">
        <v>233</v>
      </c>
      <c r="K269">
        <v>20</v>
      </c>
      <c r="L269">
        <v>1605</v>
      </c>
      <c r="M269">
        <v>4</v>
      </c>
      <c r="N269">
        <v>22611</v>
      </c>
      <c r="O269" t="str">
        <f t="shared" si="8"/>
        <v>Q3 2010</v>
      </c>
      <c r="P269" s="1">
        <f t="shared" si="9"/>
        <v>40360</v>
      </c>
      <c r="Q269" t="s">
        <v>724</v>
      </c>
    </row>
    <row r="270" spans="1:17">
      <c r="A270" t="s">
        <v>725</v>
      </c>
      <c r="B270">
        <v>2547140</v>
      </c>
      <c r="C270" t="s">
        <v>27</v>
      </c>
      <c r="D270">
        <v>0</v>
      </c>
      <c r="E270">
        <v>8</v>
      </c>
      <c r="G270" s="1">
        <v>45513</v>
      </c>
      <c r="H270">
        <v>8</v>
      </c>
      <c r="I270" t="s">
        <v>726</v>
      </c>
      <c r="O270" t="str">
        <f t="shared" si="8"/>
        <v>Q3 2024</v>
      </c>
      <c r="P270" s="1">
        <f t="shared" si="9"/>
        <v>45474</v>
      </c>
      <c r="Q270" t="s">
        <v>727</v>
      </c>
    </row>
  </sheetData>
  <sortState xmlns:xlrd2="http://schemas.microsoft.com/office/spreadsheetml/2017/richdata2" ref="A2:Q270">
    <sortCondition ref="A2:A270"/>
  </sortSt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C9504-A4AB-4945-99AF-749274BB909C}">
  <dimension ref="A1:AC95"/>
  <sheetViews>
    <sheetView workbookViewId="0">
      <selection activeCell="AE42" sqref="AE42"/>
    </sheetView>
  </sheetViews>
  <sheetFormatPr defaultRowHeight="15"/>
  <cols>
    <col min="1" max="1" width="21.7109375" bestFit="1" customWidth="1"/>
    <col min="2" max="2" width="24.42578125" bestFit="1" customWidth="1"/>
    <col min="3" max="3" width="3" customWidth="1"/>
    <col min="4" max="4" width="20.85546875" customWidth="1"/>
    <col min="5" max="5" width="26.7109375" customWidth="1"/>
    <col min="6" max="7" width="3" bestFit="1" customWidth="1"/>
    <col min="8" max="56" width="4.140625" bestFit="1" customWidth="1"/>
    <col min="57" max="177" width="5.140625" bestFit="1" customWidth="1"/>
    <col min="178" max="200" width="6.28515625" bestFit="1" customWidth="1"/>
    <col min="201" max="202" width="7.42578125" bestFit="1" customWidth="1"/>
    <col min="203" max="203" width="7.140625" bestFit="1" customWidth="1"/>
    <col min="204" max="204" width="11.42578125" bestFit="1" customWidth="1"/>
  </cols>
  <sheetData>
    <row r="1" spans="1:5">
      <c r="A1" s="2" t="s">
        <v>9</v>
      </c>
      <c r="B1" t="s">
        <v>728</v>
      </c>
    </row>
    <row r="3" spans="1:5">
      <c r="A3" s="2" t="s">
        <v>13</v>
      </c>
      <c r="B3" t="s">
        <v>729</v>
      </c>
      <c r="D3" s="4" t="s">
        <v>13</v>
      </c>
      <c r="E3" s="4" t="s">
        <v>729</v>
      </c>
    </row>
    <row r="4" spans="1:5">
      <c r="A4">
        <v>1</v>
      </c>
      <c r="B4" s="3">
        <v>41</v>
      </c>
      <c r="D4">
        <v>1</v>
      </c>
      <c r="E4" s="3">
        <v>41</v>
      </c>
    </row>
    <row r="5" spans="1:5">
      <c r="A5">
        <v>2</v>
      </c>
      <c r="B5" s="3">
        <v>2388</v>
      </c>
      <c r="D5">
        <v>2</v>
      </c>
      <c r="E5" s="3">
        <v>2388</v>
      </c>
    </row>
    <row r="6" spans="1:5">
      <c r="A6">
        <v>3</v>
      </c>
      <c r="B6" s="3">
        <v>78</v>
      </c>
      <c r="D6">
        <v>3</v>
      </c>
      <c r="E6" s="3">
        <v>78</v>
      </c>
    </row>
    <row r="7" spans="1:5">
      <c r="A7">
        <v>5</v>
      </c>
      <c r="B7" s="3">
        <v>260</v>
      </c>
      <c r="D7">
        <v>5</v>
      </c>
      <c r="E7" s="3">
        <v>260</v>
      </c>
    </row>
    <row r="8" spans="1:5">
      <c r="A8">
        <v>6</v>
      </c>
      <c r="B8" s="3">
        <v>1430</v>
      </c>
      <c r="D8">
        <v>6</v>
      </c>
      <c r="E8" s="3">
        <v>1430</v>
      </c>
    </row>
    <row r="9" spans="1:5">
      <c r="A9">
        <v>8</v>
      </c>
      <c r="B9" s="3">
        <v>602.25</v>
      </c>
      <c r="D9">
        <v>8</v>
      </c>
      <c r="E9" s="3">
        <v>602.25</v>
      </c>
    </row>
    <row r="10" spans="1:5">
      <c r="A10">
        <v>10</v>
      </c>
      <c r="B10" s="3">
        <v>2088</v>
      </c>
      <c r="D10">
        <v>10</v>
      </c>
      <c r="E10" s="3">
        <v>2088</v>
      </c>
    </row>
    <row r="11" spans="1:5">
      <c r="A11">
        <v>11</v>
      </c>
      <c r="B11" s="3">
        <v>296</v>
      </c>
      <c r="D11">
        <v>11</v>
      </c>
      <c r="E11" s="3">
        <v>296</v>
      </c>
    </row>
    <row r="12" spans="1:5">
      <c r="A12">
        <v>12</v>
      </c>
      <c r="B12" s="3">
        <v>714.83333333333337</v>
      </c>
      <c r="D12">
        <v>12</v>
      </c>
      <c r="E12" s="3">
        <v>714.83333333333337</v>
      </c>
    </row>
    <row r="13" spans="1:5">
      <c r="A13">
        <v>13</v>
      </c>
      <c r="B13" s="3">
        <v>306</v>
      </c>
      <c r="D13">
        <v>13</v>
      </c>
      <c r="E13" s="3">
        <v>306</v>
      </c>
    </row>
    <row r="14" spans="1:5">
      <c r="A14">
        <v>14</v>
      </c>
      <c r="B14" s="3">
        <v>554.6</v>
      </c>
      <c r="D14">
        <v>14</v>
      </c>
      <c r="E14" s="3">
        <v>554.6</v>
      </c>
    </row>
    <row r="15" spans="1:5">
      <c r="A15">
        <v>15</v>
      </c>
      <c r="B15" s="3">
        <v>1576</v>
      </c>
      <c r="D15">
        <v>15</v>
      </c>
      <c r="E15" s="3">
        <v>1576</v>
      </c>
    </row>
    <row r="16" spans="1:5">
      <c r="A16">
        <v>16</v>
      </c>
      <c r="B16" s="3">
        <v>1541.5</v>
      </c>
      <c r="D16">
        <v>16</v>
      </c>
      <c r="E16" s="3">
        <v>1541.5</v>
      </c>
    </row>
    <row r="17" spans="1:5">
      <c r="A17">
        <v>17</v>
      </c>
      <c r="B17" s="3">
        <v>840</v>
      </c>
      <c r="D17">
        <v>17</v>
      </c>
      <c r="E17" s="3">
        <v>840</v>
      </c>
    </row>
    <row r="18" spans="1:5">
      <c r="A18">
        <v>18</v>
      </c>
      <c r="B18" s="3">
        <v>2994.5</v>
      </c>
      <c r="D18">
        <v>18</v>
      </c>
      <c r="E18" s="3">
        <v>2994.5</v>
      </c>
    </row>
    <row r="19" spans="1:5">
      <c r="A19">
        <v>19</v>
      </c>
      <c r="B19" s="3">
        <v>809</v>
      </c>
      <c r="D19">
        <v>19</v>
      </c>
      <c r="E19" s="3">
        <v>809</v>
      </c>
    </row>
    <row r="20" spans="1:5">
      <c r="A20">
        <v>20</v>
      </c>
      <c r="B20" s="3">
        <v>1656</v>
      </c>
      <c r="D20">
        <v>20</v>
      </c>
      <c r="E20" s="3">
        <v>1656</v>
      </c>
    </row>
    <row r="21" spans="1:5">
      <c r="A21">
        <v>21</v>
      </c>
      <c r="B21" s="3">
        <v>2362</v>
      </c>
      <c r="D21">
        <v>21</v>
      </c>
      <c r="E21" s="3">
        <v>2362</v>
      </c>
    </row>
    <row r="22" spans="1:5">
      <c r="A22">
        <v>22</v>
      </c>
      <c r="B22" s="3">
        <v>1085.8</v>
      </c>
      <c r="D22">
        <v>22</v>
      </c>
      <c r="E22" s="3">
        <v>1085.8</v>
      </c>
    </row>
    <row r="23" spans="1:5">
      <c r="A23">
        <v>23</v>
      </c>
      <c r="B23" s="3">
        <v>2920</v>
      </c>
      <c r="D23">
        <v>23</v>
      </c>
      <c r="E23" s="3">
        <v>2920</v>
      </c>
    </row>
    <row r="24" spans="1:5">
      <c r="A24">
        <v>24</v>
      </c>
      <c r="B24" s="3">
        <v>2107.5</v>
      </c>
      <c r="D24">
        <v>24</v>
      </c>
      <c r="E24" s="3">
        <v>2107.5</v>
      </c>
    </row>
    <row r="25" spans="1:5">
      <c r="A25">
        <v>25</v>
      </c>
      <c r="B25" s="3">
        <v>1482</v>
      </c>
      <c r="D25">
        <v>25</v>
      </c>
      <c r="E25" s="3">
        <v>1482</v>
      </c>
    </row>
    <row r="26" spans="1:5">
      <c r="A26">
        <v>26</v>
      </c>
      <c r="B26" s="3">
        <v>6466.666666666667</v>
      </c>
      <c r="D26">
        <v>26</v>
      </c>
      <c r="E26" s="3">
        <v>6466.666666666667</v>
      </c>
    </row>
    <row r="27" spans="1:5">
      <c r="A27">
        <v>27</v>
      </c>
      <c r="B27" s="3">
        <v>2095.6666666666665</v>
      </c>
      <c r="D27">
        <v>27</v>
      </c>
      <c r="E27" s="3">
        <v>2095.6666666666665</v>
      </c>
    </row>
    <row r="28" spans="1:5">
      <c r="A28">
        <v>28</v>
      </c>
      <c r="B28" s="3">
        <v>488</v>
      </c>
      <c r="D28">
        <v>28</v>
      </c>
      <c r="E28" s="3">
        <v>488</v>
      </c>
    </row>
    <row r="29" spans="1:5">
      <c r="A29">
        <v>29</v>
      </c>
      <c r="B29" s="3">
        <v>15162.333333333334</v>
      </c>
      <c r="D29">
        <v>29</v>
      </c>
      <c r="E29" s="20"/>
    </row>
    <row r="30" spans="1:5">
      <c r="A30">
        <v>30</v>
      </c>
      <c r="B30" s="3">
        <v>1328</v>
      </c>
      <c r="D30">
        <v>30</v>
      </c>
      <c r="E30" s="3">
        <v>1328</v>
      </c>
    </row>
    <row r="31" spans="1:5">
      <c r="A31">
        <v>31</v>
      </c>
      <c r="B31" s="3">
        <v>4918</v>
      </c>
      <c r="D31">
        <v>31</v>
      </c>
      <c r="E31" s="3">
        <v>4918</v>
      </c>
    </row>
    <row r="32" spans="1:5">
      <c r="A32">
        <v>32</v>
      </c>
      <c r="B32" s="3">
        <v>25642.666666666668</v>
      </c>
      <c r="D32">
        <v>32</v>
      </c>
      <c r="E32" s="20"/>
    </row>
    <row r="33" spans="1:29">
      <c r="A33">
        <v>33</v>
      </c>
      <c r="B33" s="3">
        <v>944.66666666666663</v>
      </c>
      <c r="D33">
        <v>33</v>
      </c>
      <c r="E33" s="3">
        <v>944.66666666666663</v>
      </c>
    </row>
    <row r="34" spans="1:29">
      <c r="A34">
        <v>34</v>
      </c>
      <c r="B34" s="3">
        <v>3113</v>
      </c>
      <c r="D34">
        <v>34</v>
      </c>
      <c r="E34" s="3">
        <v>3113</v>
      </c>
    </row>
    <row r="35" spans="1:29">
      <c r="A35">
        <v>35</v>
      </c>
      <c r="B35" s="3">
        <v>1042</v>
      </c>
      <c r="D35">
        <v>35</v>
      </c>
      <c r="E35" s="3">
        <v>1042</v>
      </c>
    </row>
    <row r="36" spans="1:29">
      <c r="A36">
        <v>36</v>
      </c>
      <c r="B36" s="3"/>
      <c r="D36">
        <v>36</v>
      </c>
      <c r="E36" s="3"/>
    </row>
    <row r="37" spans="1:29">
      <c r="A37">
        <v>37</v>
      </c>
      <c r="B37" s="3">
        <v>2372.5714285714284</v>
      </c>
      <c r="D37">
        <v>37</v>
      </c>
      <c r="E37" s="3">
        <v>2372.5714285714284</v>
      </c>
    </row>
    <row r="38" spans="1:29">
      <c r="A38">
        <v>38</v>
      </c>
      <c r="B38" s="3">
        <v>4651.5</v>
      </c>
      <c r="D38">
        <v>38</v>
      </c>
      <c r="E38" s="3">
        <v>4651.5</v>
      </c>
    </row>
    <row r="39" spans="1:29">
      <c r="A39">
        <v>40</v>
      </c>
      <c r="B39" s="3">
        <v>2353</v>
      </c>
      <c r="D39">
        <v>40</v>
      </c>
      <c r="E39" s="3">
        <v>2353</v>
      </c>
    </row>
    <row r="40" spans="1:29">
      <c r="A40">
        <v>41</v>
      </c>
      <c r="B40" s="3">
        <v>5234</v>
      </c>
      <c r="D40">
        <v>41</v>
      </c>
      <c r="E40" s="3">
        <v>5234</v>
      </c>
    </row>
    <row r="41" spans="1:29">
      <c r="A41">
        <v>42</v>
      </c>
      <c r="B41" s="3">
        <v>5450.4</v>
      </c>
      <c r="D41">
        <v>42</v>
      </c>
      <c r="E41" s="3">
        <v>5450.4</v>
      </c>
    </row>
    <row r="42" spans="1:29">
      <c r="A42">
        <v>43</v>
      </c>
      <c r="B42" s="3">
        <v>2935.4</v>
      </c>
      <c r="D42">
        <v>43</v>
      </c>
      <c r="E42" s="3">
        <v>2935.4</v>
      </c>
    </row>
    <row r="43" spans="1:29">
      <c r="A43">
        <v>44</v>
      </c>
      <c r="B43" s="3">
        <v>2492.5</v>
      </c>
      <c r="D43">
        <v>44</v>
      </c>
      <c r="E43" s="3">
        <v>2492.5</v>
      </c>
      <c r="H43" s="15" t="s">
        <v>730</v>
      </c>
      <c r="I43" s="15"/>
      <c r="J43" s="15"/>
      <c r="K43" s="15"/>
      <c r="L43" s="15"/>
      <c r="M43" s="15"/>
      <c r="N43" s="15"/>
      <c r="O43" s="15"/>
      <c r="P43" s="15"/>
      <c r="Q43" s="15"/>
      <c r="R43" s="15"/>
      <c r="S43" s="15"/>
      <c r="T43" s="15"/>
      <c r="U43" s="15"/>
      <c r="V43" s="15"/>
      <c r="W43" s="15"/>
      <c r="X43" s="15"/>
      <c r="Y43" s="15"/>
      <c r="Z43" s="15"/>
      <c r="AA43" s="15"/>
      <c r="AB43" s="15"/>
      <c r="AC43" s="15"/>
    </row>
    <row r="44" spans="1:29">
      <c r="A44">
        <v>45</v>
      </c>
      <c r="B44" s="3"/>
      <c r="D44">
        <v>45</v>
      </c>
      <c r="E44" s="3"/>
      <c r="H44" s="15"/>
      <c r="I44" s="15"/>
      <c r="J44" s="15"/>
      <c r="K44" s="15"/>
      <c r="L44" s="15"/>
      <c r="M44" s="15"/>
      <c r="N44" s="15"/>
      <c r="O44" s="15"/>
      <c r="P44" s="15"/>
      <c r="Q44" s="15"/>
      <c r="R44" s="15"/>
      <c r="S44" s="15"/>
      <c r="T44" s="15"/>
      <c r="U44" s="15"/>
      <c r="V44" s="15"/>
      <c r="W44" s="15"/>
      <c r="X44" s="15"/>
      <c r="Y44" s="15"/>
      <c r="Z44" s="15"/>
      <c r="AA44" s="15"/>
      <c r="AB44" s="15"/>
      <c r="AC44" s="15"/>
    </row>
    <row r="45" spans="1:29">
      <c r="A45">
        <v>46</v>
      </c>
      <c r="B45" s="3">
        <v>6624.5</v>
      </c>
      <c r="D45">
        <v>46</v>
      </c>
      <c r="E45" s="3">
        <v>6624.5</v>
      </c>
    </row>
    <row r="46" spans="1:29">
      <c r="A46">
        <v>47</v>
      </c>
      <c r="B46" s="3">
        <v>4927</v>
      </c>
      <c r="D46">
        <v>47</v>
      </c>
      <c r="E46" s="3">
        <v>4927</v>
      </c>
    </row>
    <row r="47" spans="1:29">
      <c r="A47">
        <v>48</v>
      </c>
      <c r="B47" s="3">
        <v>9153.5</v>
      </c>
      <c r="D47">
        <v>48</v>
      </c>
      <c r="E47" s="3">
        <v>9153.5</v>
      </c>
    </row>
    <row r="48" spans="1:29">
      <c r="A48">
        <v>49</v>
      </c>
      <c r="B48" s="3">
        <v>3279.8</v>
      </c>
      <c r="D48">
        <v>49</v>
      </c>
      <c r="E48" s="3">
        <v>3279.8</v>
      </c>
    </row>
    <row r="49" spans="1:5">
      <c r="A49">
        <v>50</v>
      </c>
      <c r="B49" s="3">
        <v>2452.75</v>
      </c>
      <c r="D49">
        <v>50</v>
      </c>
      <c r="E49" s="3">
        <v>2452.75</v>
      </c>
    </row>
    <row r="50" spans="1:5">
      <c r="A50">
        <v>51</v>
      </c>
      <c r="B50" s="3">
        <v>9963.75</v>
      </c>
      <c r="D50">
        <v>51</v>
      </c>
      <c r="E50" s="3">
        <v>9963.75</v>
      </c>
    </row>
    <row r="51" spans="1:5">
      <c r="A51">
        <v>52</v>
      </c>
      <c r="B51" s="3">
        <v>7746</v>
      </c>
      <c r="D51">
        <v>52</v>
      </c>
      <c r="E51" s="3">
        <v>7746</v>
      </c>
    </row>
    <row r="52" spans="1:5">
      <c r="A52">
        <v>53</v>
      </c>
      <c r="B52" s="3">
        <v>1194.5</v>
      </c>
      <c r="D52">
        <v>53</v>
      </c>
      <c r="E52" s="3">
        <v>1194.5</v>
      </c>
    </row>
    <row r="53" spans="1:5">
      <c r="A53">
        <v>54</v>
      </c>
      <c r="B53" s="3">
        <v>4342.666666666667</v>
      </c>
      <c r="D53">
        <v>54</v>
      </c>
      <c r="E53" s="3">
        <v>4342.666666666667</v>
      </c>
    </row>
    <row r="54" spans="1:5">
      <c r="A54">
        <v>55</v>
      </c>
      <c r="B54" s="3">
        <v>6845</v>
      </c>
      <c r="D54">
        <v>55</v>
      </c>
      <c r="E54" s="3">
        <v>6845</v>
      </c>
    </row>
    <row r="55" spans="1:5">
      <c r="A55">
        <v>58</v>
      </c>
      <c r="B55" s="3"/>
      <c r="D55">
        <v>58</v>
      </c>
      <c r="E55" s="3"/>
    </row>
    <row r="56" spans="1:5">
      <c r="A56">
        <v>59</v>
      </c>
      <c r="B56" s="3">
        <v>3795</v>
      </c>
      <c r="D56">
        <v>59</v>
      </c>
      <c r="E56" s="3">
        <v>3795</v>
      </c>
    </row>
    <row r="57" spans="1:5">
      <c r="A57">
        <v>60</v>
      </c>
      <c r="B57" s="3">
        <v>3216.5</v>
      </c>
      <c r="D57">
        <v>60</v>
      </c>
      <c r="E57" s="3">
        <v>3216.5</v>
      </c>
    </row>
    <row r="58" spans="1:5">
      <c r="A58">
        <v>61</v>
      </c>
      <c r="B58" s="3">
        <v>30462</v>
      </c>
      <c r="D58">
        <v>61</v>
      </c>
      <c r="E58" s="20"/>
    </row>
    <row r="59" spans="1:5">
      <c r="A59">
        <v>63</v>
      </c>
      <c r="B59" s="3">
        <v>4207</v>
      </c>
      <c r="D59">
        <v>63</v>
      </c>
      <c r="E59" s="3">
        <v>4207</v>
      </c>
    </row>
    <row r="60" spans="1:5">
      <c r="A60">
        <v>65</v>
      </c>
      <c r="B60" s="3">
        <v>1456</v>
      </c>
      <c r="D60">
        <v>65</v>
      </c>
      <c r="E60" s="3">
        <v>1456</v>
      </c>
    </row>
    <row r="61" spans="1:5">
      <c r="A61">
        <v>68</v>
      </c>
      <c r="B61" s="3">
        <v>1526</v>
      </c>
      <c r="D61">
        <v>68</v>
      </c>
      <c r="E61" s="3">
        <v>1526</v>
      </c>
    </row>
    <row r="62" spans="1:5">
      <c r="A62">
        <v>69</v>
      </c>
      <c r="B62" s="3">
        <v>16196</v>
      </c>
      <c r="D62">
        <v>69</v>
      </c>
      <c r="E62" s="3">
        <v>16196</v>
      </c>
    </row>
    <row r="63" spans="1:5">
      <c r="A63">
        <v>70</v>
      </c>
      <c r="B63" s="3">
        <v>4079.3333333333335</v>
      </c>
      <c r="D63">
        <v>70</v>
      </c>
      <c r="E63" s="3">
        <v>4079.3333333333335</v>
      </c>
    </row>
    <row r="64" spans="1:5">
      <c r="A64">
        <v>72</v>
      </c>
      <c r="B64" s="3">
        <v>14660</v>
      </c>
      <c r="D64">
        <v>72</v>
      </c>
      <c r="E64" s="3">
        <v>14660</v>
      </c>
    </row>
    <row r="65" spans="1:5">
      <c r="A65">
        <v>73</v>
      </c>
      <c r="B65" s="3">
        <v>3174.5</v>
      </c>
      <c r="D65">
        <v>73</v>
      </c>
      <c r="E65" s="3">
        <v>3174.5</v>
      </c>
    </row>
    <row r="66" spans="1:5">
      <c r="A66">
        <v>75</v>
      </c>
      <c r="B66" s="3">
        <v>8290.5</v>
      </c>
      <c r="D66">
        <v>75</v>
      </c>
      <c r="E66" s="3">
        <v>8290.5</v>
      </c>
    </row>
    <row r="67" spans="1:5">
      <c r="A67">
        <v>77</v>
      </c>
      <c r="B67" s="3"/>
      <c r="D67">
        <v>77</v>
      </c>
      <c r="E67" s="3"/>
    </row>
    <row r="68" spans="1:5">
      <c r="A68">
        <v>78</v>
      </c>
      <c r="B68" s="3">
        <v>10829</v>
      </c>
      <c r="D68">
        <v>78</v>
      </c>
      <c r="E68" s="3">
        <v>10829</v>
      </c>
    </row>
    <row r="69" spans="1:5">
      <c r="A69">
        <v>79</v>
      </c>
      <c r="B69" s="3">
        <v>2310</v>
      </c>
      <c r="D69">
        <v>79</v>
      </c>
      <c r="E69" s="3">
        <v>2310</v>
      </c>
    </row>
    <row r="70" spans="1:5">
      <c r="A70">
        <v>80</v>
      </c>
      <c r="B70" s="3">
        <v>2145.6666666666665</v>
      </c>
      <c r="D70">
        <v>80</v>
      </c>
      <c r="E70" s="3">
        <v>2145.6666666666665</v>
      </c>
    </row>
    <row r="71" spans="1:5">
      <c r="A71">
        <v>81</v>
      </c>
      <c r="B71" s="3"/>
      <c r="D71">
        <v>81</v>
      </c>
      <c r="E71" s="3"/>
    </row>
    <row r="72" spans="1:5">
      <c r="A72">
        <v>85</v>
      </c>
      <c r="B72" s="3">
        <v>4838</v>
      </c>
      <c r="D72">
        <v>85</v>
      </c>
      <c r="E72" s="3">
        <v>4838</v>
      </c>
    </row>
    <row r="73" spans="1:5">
      <c r="A73">
        <v>88</v>
      </c>
      <c r="B73" s="3">
        <v>2925</v>
      </c>
      <c r="D73">
        <v>88</v>
      </c>
      <c r="E73" s="3">
        <v>2925</v>
      </c>
    </row>
    <row r="74" spans="1:5">
      <c r="A74">
        <v>91</v>
      </c>
      <c r="B74" s="3"/>
      <c r="D74">
        <v>91</v>
      </c>
      <c r="E74" s="3"/>
    </row>
    <row r="75" spans="1:5">
      <c r="A75">
        <v>96</v>
      </c>
      <c r="B75" s="3">
        <v>3471</v>
      </c>
      <c r="D75">
        <v>96</v>
      </c>
      <c r="E75" s="3">
        <v>3471</v>
      </c>
    </row>
    <row r="76" spans="1:5">
      <c r="A76">
        <v>99</v>
      </c>
      <c r="B76" s="3">
        <v>5983.5</v>
      </c>
      <c r="D76">
        <v>99</v>
      </c>
      <c r="E76" s="3">
        <v>5983.5</v>
      </c>
    </row>
    <row r="77" spans="1:5">
      <c r="A77">
        <v>100</v>
      </c>
      <c r="B77" s="3">
        <v>68</v>
      </c>
      <c r="D77">
        <v>100</v>
      </c>
      <c r="E77" s="3">
        <v>68</v>
      </c>
    </row>
    <row r="78" spans="1:5">
      <c r="A78">
        <v>101</v>
      </c>
      <c r="B78" s="3">
        <v>2558</v>
      </c>
      <c r="D78">
        <v>101</v>
      </c>
      <c r="E78" s="3">
        <v>2558</v>
      </c>
    </row>
    <row r="79" spans="1:5">
      <c r="A79">
        <v>104</v>
      </c>
      <c r="B79" s="3">
        <v>2552</v>
      </c>
      <c r="D79">
        <v>104</v>
      </c>
      <c r="E79" s="3">
        <v>2552</v>
      </c>
    </row>
    <row r="80" spans="1:5">
      <c r="A80">
        <v>106</v>
      </c>
      <c r="B80" s="3">
        <v>12977</v>
      </c>
      <c r="D80">
        <v>106</v>
      </c>
      <c r="E80" s="3">
        <v>12977</v>
      </c>
    </row>
    <row r="81" spans="1:5">
      <c r="A81">
        <v>120</v>
      </c>
      <c r="B81" s="3"/>
      <c r="D81">
        <v>120</v>
      </c>
      <c r="E81" s="3"/>
    </row>
    <row r="82" spans="1:5">
      <c r="A82">
        <v>137</v>
      </c>
      <c r="B82" s="3">
        <v>13916</v>
      </c>
      <c r="D82">
        <v>137</v>
      </c>
      <c r="E82" s="3">
        <v>13916</v>
      </c>
    </row>
    <row r="83" spans="1:5">
      <c r="A83">
        <v>146</v>
      </c>
      <c r="B83" s="3">
        <v>8034</v>
      </c>
      <c r="D83">
        <v>146</v>
      </c>
      <c r="E83" s="3">
        <v>8034</v>
      </c>
    </row>
    <row r="84" spans="1:5">
      <c r="A84">
        <v>156</v>
      </c>
      <c r="B84" s="3">
        <v>35862</v>
      </c>
      <c r="D84">
        <v>156</v>
      </c>
      <c r="E84" s="3">
        <v>35862</v>
      </c>
    </row>
    <row r="85" spans="1:5">
      <c r="A85">
        <v>161</v>
      </c>
      <c r="B85" s="3"/>
      <c r="D85">
        <v>161</v>
      </c>
      <c r="E85" s="3"/>
    </row>
    <row r="86" spans="1:5">
      <c r="A86">
        <v>171</v>
      </c>
      <c r="B86" s="3">
        <v>9587</v>
      </c>
      <c r="D86">
        <v>171</v>
      </c>
      <c r="E86" s="3">
        <v>9587</v>
      </c>
    </row>
    <row r="87" spans="1:5">
      <c r="A87">
        <v>188</v>
      </c>
      <c r="B87" s="3">
        <v>46384</v>
      </c>
      <c r="D87">
        <v>188</v>
      </c>
      <c r="E87" s="3">
        <v>46384</v>
      </c>
    </row>
    <row r="88" spans="1:5">
      <c r="A88">
        <v>193</v>
      </c>
      <c r="B88" s="3"/>
      <c r="D88">
        <v>193</v>
      </c>
      <c r="E88" s="3"/>
    </row>
    <row r="89" spans="1:5">
      <c r="A89">
        <v>198</v>
      </c>
      <c r="B89" s="3"/>
      <c r="D89">
        <v>198</v>
      </c>
      <c r="E89" s="3"/>
    </row>
    <row r="90" spans="1:5">
      <c r="A90">
        <v>219</v>
      </c>
      <c r="B90" s="3">
        <v>31708</v>
      </c>
      <c r="D90">
        <v>219</v>
      </c>
      <c r="E90" s="3">
        <v>31708</v>
      </c>
    </row>
    <row r="91" spans="1:5">
      <c r="A91">
        <v>255</v>
      </c>
      <c r="B91" s="3">
        <v>30000</v>
      </c>
      <c r="D91">
        <v>255</v>
      </c>
      <c r="E91" s="3">
        <v>30000</v>
      </c>
    </row>
    <row r="92" spans="1:5">
      <c r="A92">
        <v>307</v>
      </c>
      <c r="B92" s="3">
        <v>9574</v>
      </c>
      <c r="D92">
        <v>307</v>
      </c>
      <c r="E92" s="3">
        <v>9574</v>
      </c>
    </row>
    <row r="93" spans="1:5">
      <c r="A93">
        <v>452</v>
      </c>
      <c r="B93" s="3">
        <v>3781</v>
      </c>
      <c r="D93">
        <v>452</v>
      </c>
      <c r="E93" s="3">
        <v>3781</v>
      </c>
    </row>
    <row r="94" spans="1:5">
      <c r="A94" t="s">
        <v>731</v>
      </c>
      <c r="B94" s="3">
        <v>13068.388888888889</v>
      </c>
    </row>
    <row r="95" spans="1:5">
      <c r="A95" t="s">
        <v>732</v>
      </c>
      <c r="B95" s="3">
        <v>5470.0247524752476</v>
      </c>
    </row>
  </sheetData>
  <mergeCells count="1">
    <mergeCell ref="H43:AC44"/>
  </mergeCells>
  <pageMargins left="0.7" right="0.7" top="0.75" bottom="0.75" header="0.3" footer="0.3"/>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7ACC0-39A8-4474-8954-BF316FF939AB}">
  <dimension ref="A3:G98"/>
  <sheetViews>
    <sheetView topLeftCell="B16" workbookViewId="0">
      <selection activeCell="K48" sqref="K48"/>
    </sheetView>
  </sheetViews>
  <sheetFormatPr defaultRowHeight="15"/>
  <cols>
    <col min="1" max="1" width="22.42578125" customWidth="1"/>
    <col min="2" max="2" width="18.85546875" customWidth="1"/>
    <col min="3" max="3" width="14.5703125" customWidth="1"/>
    <col min="4" max="4" width="7.85546875" customWidth="1"/>
    <col min="5" max="5" width="12.42578125" customWidth="1"/>
    <col min="6" max="6" width="14.5703125" customWidth="1"/>
    <col min="7" max="7" width="23" customWidth="1"/>
    <col min="8" max="8" width="7.140625" customWidth="1"/>
    <col min="9" max="9" width="11.42578125" customWidth="1"/>
    <col min="10" max="10" width="8" bestFit="1" customWidth="1"/>
    <col min="11" max="11" width="23" bestFit="1" customWidth="1"/>
    <col min="12" max="12" width="8" bestFit="1" customWidth="1"/>
    <col min="13" max="13" width="23" bestFit="1" customWidth="1"/>
    <col min="14" max="14" width="8" bestFit="1" customWidth="1"/>
    <col min="15" max="15" width="23" bestFit="1" customWidth="1"/>
    <col min="16" max="16" width="8" bestFit="1" customWidth="1"/>
    <col min="17" max="17" width="23" bestFit="1" customWidth="1"/>
    <col min="18" max="18" width="8" bestFit="1" customWidth="1"/>
    <col min="19" max="19" width="12.42578125" bestFit="1" customWidth="1"/>
    <col min="20" max="20" width="8" bestFit="1" customWidth="1"/>
    <col min="21" max="21" width="12.42578125" bestFit="1" customWidth="1"/>
    <col min="22" max="22" width="9.140625" bestFit="1" customWidth="1"/>
    <col min="23" max="23" width="12.42578125" bestFit="1" customWidth="1"/>
    <col min="24" max="24" width="9.140625" bestFit="1" customWidth="1"/>
    <col min="25" max="25" width="12.42578125" bestFit="1" customWidth="1"/>
    <col min="26" max="26" width="9.140625" bestFit="1" customWidth="1"/>
    <col min="27" max="27" width="23" bestFit="1" customWidth="1"/>
    <col min="28" max="28" width="9.140625" bestFit="1" customWidth="1"/>
    <col min="29" max="29" width="14.5703125" bestFit="1" customWidth="1"/>
    <col min="30" max="30" width="9.140625" bestFit="1" customWidth="1"/>
    <col min="31" max="31" width="12.42578125" bestFit="1" customWidth="1"/>
    <col min="32" max="32" width="14.5703125" bestFit="1" customWidth="1"/>
    <col min="33" max="33" width="9.140625" bestFit="1" customWidth="1"/>
    <col min="34" max="34" width="12.42578125" bestFit="1" customWidth="1"/>
    <col min="35" max="35" width="9.140625" bestFit="1" customWidth="1"/>
    <col min="36" max="36" width="14.5703125" bestFit="1" customWidth="1"/>
    <col min="37" max="37" width="23" bestFit="1" customWidth="1"/>
    <col min="38" max="38" width="9.140625" bestFit="1" customWidth="1"/>
    <col min="39" max="39" width="12.42578125" bestFit="1" customWidth="1"/>
    <col min="40" max="40" width="9.140625" bestFit="1" customWidth="1"/>
    <col min="41" max="41" width="12.42578125" bestFit="1" customWidth="1"/>
    <col min="42" max="42" width="9.140625" bestFit="1" customWidth="1"/>
    <col min="43" max="43" width="12.42578125" bestFit="1" customWidth="1"/>
    <col min="44" max="44" width="9.140625" bestFit="1" customWidth="1"/>
    <col min="45" max="45" width="12.42578125" bestFit="1" customWidth="1"/>
    <col min="46" max="46" width="9.140625" bestFit="1" customWidth="1"/>
    <col min="47" max="47" width="14.5703125" bestFit="1" customWidth="1"/>
    <col min="48" max="48" width="9.140625" bestFit="1" customWidth="1"/>
    <col min="49" max="49" width="6.42578125" bestFit="1" customWidth="1"/>
    <col min="50" max="50" width="9.140625" bestFit="1" customWidth="1"/>
    <col min="51" max="51" width="12.42578125" bestFit="1" customWidth="1"/>
    <col min="52" max="52" width="9.140625" bestFit="1" customWidth="1"/>
    <col min="53" max="53" width="23" bestFit="1" customWidth="1"/>
    <col min="54" max="54" width="9.140625" bestFit="1" customWidth="1"/>
    <col min="55" max="55" width="14.5703125" bestFit="1" customWidth="1"/>
    <col min="56" max="56" width="23" bestFit="1" customWidth="1"/>
    <col min="57" max="57" width="9.140625" bestFit="1" customWidth="1"/>
    <col min="58" max="58" width="12.42578125" bestFit="1" customWidth="1"/>
    <col min="59" max="59" width="9.140625" bestFit="1" customWidth="1"/>
    <col min="60" max="60" width="12.42578125" bestFit="1" customWidth="1"/>
    <col min="61" max="61" width="9.140625" bestFit="1" customWidth="1"/>
    <col min="62" max="62" width="6.42578125" bestFit="1" customWidth="1"/>
    <col min="63" max="63" width="12.42578125" bestFit="1" customWidth="1"/>
    <col min="64" max="64" width="9.140625" bestFit="1" customWidth="1"/>
    <col min="65" max="65" width="12.42578125" bestFit="1" customWidth="1"/>
    <col min="66" max="66" width="9.140625" bestFit="1" customWidth="1"/>
    <col min="67" max="67" width="6.42578125" bestFit="1" customWidth="1"/>
    <col min="68" max="68" width="9.140625" bestFit="1" customWidth="1"/>
    <col min="69" max="69" width="23" bestFit="1" customWidth="1"/>
    <col min="70" max="70" width="9.140625" bestFit="1" customWidth="1"/>
    <col min="71" max="71" width="14.5703125" bestFit="1" customWidth="1"/>
    <col min="72" max="72" width="9.140625" bestFit="1" customWidth="1"/>
    <col min="73" max="73" width="12.42578125" bestFit="1" customWidth="1"/>
    <col min="74" max="74" width="9.140625" bestFit="1" customWidth="1"/>
    <col min="75" max="75" width="12.42578125" bestFit="1" customWidth="1"/>
    <col min="76" max="76" width="9.140625" bestFit="1" customWidth="1"/>
    <col min="77" max="77" width="12.42578125" bestFit="1" customWidth="1"/>
    <col min="78" max="78" width="9.140625" bestFit="1" customWidth="1"/>
    <col min="79" max="79" width="23" bestFit="1" customWidth="1"/>
    <col min="80" max="80" width="9.140625" bestFit="1" customWidth="1"/>
    <col min="81" max="81" width="12.42578125" bestFit="1" customWidth="1"/>
    <col min="82" max="82" width="9.140625" bestFit="1" customWidth="1"/>
    <col min="83" max="83" width="12.42578125" bestFit="1" customWidth="1"/>
    <col min="84" max="84" width="9.140625" bestFit="1" customWidth="1"/>
    <col min="85" max="85" width="23" bestFit="1" customWidth="1"/>
    <col min="86" max="86" width="9.140625" bestFit="1" customWidth="1"/>
    <col min="87" max="87" width="12.42578125" bestFit="1" customWidth="1"/>
    <col min="88" max="88" width="9.140625" bestFit="1" customWidth="1"/>
    <col min="89" max="89" width="15.42578125" bestFit="1" customWidth="1"/>
    <col min="90" max="90" width="9.140625" bestFit="1" customWidth="1"/>
    <col min="91" max="91" width="12.42578125" bestFit="1" customWidth="1"/>
    <col min="92" max="92" width="9.140625" bestFit="1" customWidth="1"/>
    <col min="93" max="93" width="12.42578125" bestFit="1" customWidth="1"/>
    <col min="94" max="94" width="9.140625" bestFit="1" customWidth="1"/>
    <col min="95" max="95" width="12.42578125" bestFit="1" customWidth="1"/>
    <col min="96" max="96" width="9.140625" bestFit="1" customWidth="1"/>
    <col min="97" max="97" width="12.42578125" bestFit="1" customWidth="1"/>
    <col min="98" max="98" width="9.140625" bestFit="1" customWidth="1"/>
    <col min="99" max="99" width="14.5703125" bestFit="1" customWidth="1"/>
    <col min="100" max="100" width="9.140625" bestFit="1" customWidth="1"/>
    <col min="101" max="101" width="23" bestFit="1" customWidth="1"/>
    <col min="102" max="102" width="9.140625" bestFit="1" customWidth="1"/>
    <col min="103" max="103" width="12.42578125" bestFit="1" customWidth="1"/>
    <col min="104" max="104" width="9.140625" bestFit="1" customWidth="1"/>
    <col min="105" max="105" width="12.42578125" bestFit="1" customWidth="1"/>
    <col min="106" max="106" width="9.140625" bestFit="1" customWidth="1"/>
    <col min="107" max="107" width="12.42578125" bestFit="1" customWidth="1"/>
    <col min="108" max="108" width="9.140625" bestFit="1" customWidth="1"/>
    <col min="109" max="109" width="12.42578125" bestFit="1" customWidth="1"/>
    <col min="110" max="110" width="9.140625" bestFit="1" customWidth="1"/>
    <col min="111" max="111" width="12.42578125" bestFit="1" customWidth="1"/>
    <col min="112" max="112" width="9.140625" bestFit="1" customWidth="1"/>
    <col min="113" max="113" width="23" bestFit="1" customWidth="1"/>
    <col min="114" max="114" width="9.140625" bestFit="1" customWidth="1"/>
    <col min="115" max="115" width="12.42578125" bestFit="1" customWidth="1"/>
    <col min="116" max="116" width="9.140625" bestFit="1" customWidth="1"/>
    <col min="117" max="117" width="12.42578125" bestFit="1" customWidth="1"/>
    <col min="118" max="118" width="9.140625" bestFit="1" customWidth="1"/>
    <col min="119" max="119" width="14.5703125" bestFit="1" customWidth="1"/>
    <col min="120" max="120" width="9.140625" bestFit="1" customWidth="1"/>
    <col min="121" max="121" width="12.42578125" bestFit="1" customWidth="1"/>
    <col min="122" max="122" width="23" bestFit="1" customWidth="1"/>
    <col min="123" max="123" width="9.140625" bestFit="1" customWidth="1"/>
    <col min="124" max="124" width="12.42578125" bestFit="1" customWidth="1"/>
    <col min="125" max="125" width="23" bestFit="1" customWidth="1"/>
    <col min="126" max="126" width="9.140625" bestFit="1" customWidth="1"/>
    <col min="127" max="127" width="12.42578125" bestFit="1" customWidth="1"/>
    <col min="128" max="128" width="9.140625" bestFit="1" customWidth="1"/>
    <col min="129" max="129" width="12.42578125" bestFit="1" customWidth="1"/>
    <col min="130" max="130" width="9.140625" bestFit="1" customWidth="1"/>
    <col min="131" max="131" width="12.42578125" bestFit="1" customWidth="1"/>
    <col min="132" max="132" width="9.140625" bestFit="1" customWidth="1"/>
    <col min="133" max="133" width="14.5703125" bestFit="1" customWidth="1"/>
    <col min="134" max="134" width="9.140625" bestFit="1" customWidth="1"/>
    <col min="135" max="135" width="12.42578125" bestFit="1" customWidth="1"/>
    <col min="136" max="136" width="9.140625" bestFit="1" customWidth="1"/>
    <col min="137" max="137" width="6.42578125" bestFit="1" customWidth="1"/>
    <col min="138" max="138" width="9.140625" bestFit="1" customWidth="1"/>
    <col min="139" max="139" width="12.42578125" bestFit="1" customWidth="1"/>
    <col min="140" max="140" width="9.140625" bestFit="1" customWidth="1"/>
    <col min="141" max="141" width="12.42578125" bestFit="1" customWidth="1"/>
    <col min="142" max="142" width="9.140625" bestFit="1" customWidth="1"/>
    <col min="143" max="143" width="23" bestFit="1" customWidth="1"/>
    <col min="144" max="144" width="9.140625" bestFit="1" customWidth="1"/>
    <col min="145" max="145" width="6.42578125" bestFit="1" customWidth="1"/>
    <col min="146" max="146" width="9.140625" bestFit="1" customWidth="1"/>
    <col min="147" max="147" width="23" bestFit="1" customWidth="1"/>
    <col min="148" max="148" width="9.140625" bestFit="1" customWidth="1"/>
    <col min="149" max="149" width="12.42578125" bestFit="1" customWidth="1"/>
    <col min="150" max="150" width="9.140625" bestFit="1" customWidth="1"/>
    <col min="151" max="151" width="12.42578125" bestFit="1" customWidth="1"/>
    <col min="152" max="152" width="9.140625" bestFit="1" customWidth="1"/>
    <col min="153" max="153" width="12.42578125" bestFit="1" customWidth="1"/>
    <col min="154" max="154" width="9.140625" bestFit="1" customWidth="1"/>
    <col min="155" max="155" width="12.42578125" bestFit="1" customWidth="1"/>
    <col min="156" max="156" width="9.140625" bestFit="1" customWidth="1"/>
    <col min="157" max="157" width="14.5703125" bestFit="1" customWidth="1"/>
    <col min="158" max="158" width="9.140625" bestFit="1" customWidth="1"/>
    <col min="159" max="159" width="14.5703125" bestFit="1" customWidth="1"/>
    <col min="160" max="160" width="9.140625" bestFit="1" customWidth="1"/>
    <col min="161" max="161" width="23" bestFit="1" customWidth="1"/>
    <col min="162" max="162" width="9.140625" bestFit="1" customWidth="1"/>
    <col min="163" max="163" width="12.42578125" bestFit="1" customWidth="1"/>
    <col min="164" max="164" width="9.140625" bestFit="1" customWidth="1"/>
    <col min="165" max="165" width="12.42578125" bestFit="1" customWidth="1"/>
    <col min="166" max="166" width="23" bestFit="1" customWidth="1"/>
    <col min="167" max="167" width="9.140625" bestFit="1" customWidth="1"/>
    <col min="168" max="168" width="6.42578125" bestFit="1" customWidth="1"/>
    <col min="169" max="169" width="9.140625" bestFit="1" customWidth="1"/>
    <col min="170" max="170" width="12.42578125" bestFit="1" customWidth="1"/>
    <col min="171" max="171" width="9.140625" bestFit="1" customWidth="1"/>
    <col min="172" max="172" width="12.42578125" bestFit="1" customWidth="1"/>
    <col min="173" max="173" width="9.140625" bestFit="1" customWidth="1"/>
    <col min="174" max="174" width="12.42578125" bestFit="1" customWidth="1"/>
    <col min="175" max="175" width="9.140625" bestFit="1" customWidth="1"/>
    <col min="176" max="176" width="6.42578125" bestFit="1" customWidth="1"/>
    <col min="177" max="177" width="9.140625" bestFit="1" customWidth="1"/>
    <col min="178" max="178" width="23" bestFit="1" customWidth="1"/>
    <col min="179" max="179" width="9.140625" bestFit="1" customWidth="1"/>
    <col min="180" max="180" width="12.42578125" bestFit="1" customWidth="1"/>
    <col min="181" max="181" width="9.140625" bestFit="1" customWidth="1"/>
    <col min="182" max="182" width="6.42578125" bestFit="1" customWidth="1"/>
    <col min="183" max="183" width="9.140625" bestFit="1" customWidth="1"/>
    <col min="184" max="184" width="23" bestFit="1" customWidth="1"/>
    <col min="185" max="185" width="9.140625" bestFit="1" customWidth="1"/>
    <col min="186" max="186" width="6.42578125" bestFit="1" customWidth="1"/>
    <col min="187" max="187" width="9.140625" bestFit="1" customWidth="1"/>
    <col min="188" max="188" width="23" bestFit="1" customWidth="1"/>
    <col min="189" max="189" width="9.140625" bestFit="1" customWidth="1"/>
    <col min="190" max="190" width="12.42578125" bestFit="1" customWidth="1"/>
    <col min="191" max="191" width="9.140625" bestFit="1" customWidth="1"/>
    <col min="192" max="192" width="14.5703125" bestFit="1" customWidth="1"/>
    <col min="193" max="193" width="9.140625" bestFit="1" customWidth="1"/>
    <col min="194" max="194" width="23" bestFit="1" customWidth="1"/>
    <col min="195" max="195" width="9.140625" bestFit="1" customWidth="1"/>
    <col min="196" max="196" width="14.5703125" bestFit="1" customWidth="1"/>
    <col min="197" max="197" width="9.140625" bestFit="1" customWidth="1"/>
    <col min="198" max="198" width="12.42578125" bestFit="1" customWidth="1"/>
    <col min="199" max="199" width="14.5703125" bestFit="1" customWidth="1"/>
    <col min="200" max="200" width="9.140625" bestFit="1" customWidth="1"/>
    <col min="201" max="201" width="12.42578125" bestFit="1" customWidth="1"/>
    <col min="202" max="202" width="9.140625" bestFit="1" customWidth="1"/>
    <col min="203" max="203" width="23" bestFit="1" customWidth="1"/>
    <col min="204" max="204" width="9.140625" bestFit="1" customWidth="1"/>
    <col min="205" max="205" width="12.42578125" bestFit="1" customWidth="1"/>
    <col min="206" max="206" width="9.140625" bestFit="1" customWidth="1"/>
    <col min="207" max="207" width="14.5703125" bestFit="1" customWidth="1"/>
    <col min="208" max="208" width="9.140625" bestFit="1" customWidth="1"/>
    <col min="209" max="209" width="12.42578125" bestFit="1" customWidth="1"/>
    <col min="210" max="210" width="9.140625" bestFit="1" customWidth="1"/>
    <col min="211" max="211" width="12.42578125" bestFit="1" customWidth="1"/>
    <col min="212" max="212" width="9.140625" bestFit="1" customWidth="1"/>
    <col min="213" max="213" width="23" bestFit="1" customWidth="1"/>
    <col min="214" max="214" width="9.140625" bestFit="1" customWidth="1"/>
    <col min="215" max="215" width="12.42578125" bestFit="1" customWidth="1"/>
    <col min="216" max="216" width="9.140625" bestFit="1" customWidth="1"/>
    <col min="217" max="217" width="6.42578125" bestFit="1" customWidth="1"/>
    <col min="218" max="218" width="9.140625" bestFit="1" customWidth="1"/>
    <col min="219" max="219" width="23" bestFit="1" customWidth="1"/>
    <col min="220" max="220" width="9.140625" bestFit="1" customWidth="1"/>
    <col min="221" max="221" width="12.42578125" bestFit="1" customWidth="1"/>
    <col min="222" max="222" width="9.140625" bestFit="1" customWidth="1"/>
    <col min="223" max="223" width="12.42578125" bestFit="1" customWidth="1"/>
    <col min="224" max="224" width="9.140625" bestFit="1" customWidth="1"/>
    <col min="225" max="225" width="12.42578125" bestFit="1" customWidth="1"/>
    <col min="226" max="226" width="9.140625" bestFit="1" customWidth="1"/>
    <col min="227" max="227" width="23" bestFit="1" customWidth="1"/>
    <col min="228" max="228" width="9.140625" bestFit="1" customWidth="1"/>
    <col min="229" max="229" width="23" bestFit="1" customWidth="1"/>
    <col min="230" max="230" width="9.140625" bestFit="1" customWidth="1"/>
    <col min="231" max="231" width="12.42578125" bestFit="1" customWidth="1"/>
    <col min="232" max="232" width="9.140625" bestFit="1" customWidth="1"/>
    <col min="233" max="233" width="12.42578125" bestFit="1" customWidth="1"/>
    <col min="234" max="234" width="9.140625" bestFit="1" customWidth="1"/>
    <col min="235" max="235" width="23" bestFit="1" customWidth="1"/>
    <col min="236" max="236" width="9.140625" bestFit="1" customWidth="1"/>
    <col min="237" max="237" width="12.42578125" bestFit="1" customWidth="1"/>
    <col min="238" max="238" width="9.140625" bestFit="1" customWidth="1"/>
    <col min="239" max="239" width="12.42578125" bestFit="1" customWidth="1"/>
    <col min="240" max="240" width="9.140625" bestFit="1" customWidth="1"/>
    <col min="241" max="241" width="23" bestFit="1" customWidth="1"/>
    <col min="242" max="242" width="9.140625" bestFit="1" customWidth="1"/>
    <col min="243" max="243" width="12.42578125" bestFit="1" customWidth="1"/>
    <col min="244" max="244" width="9.140625" bestFit="1" customWidth="1"/>
    <col min="245" max="245" width="23" bestFit="1" customWidth="1"/>
    <col min="246" max="246" width="9.140625" bestFit="1" customWidth="1"/>
    <col min="247" max="247" width="23" bestFit="1" customWidth="1"/>
    <col min="248" max="248" width="9.140625" bestFit="1" customWidth="1"/>
    <col min="249" max="249" width="12.42578125" bestFit="1" customWidth="1"/>
    <col min="250" max="250" width="9.140625" bestFit="1" customWidth="1"/>
    <col min="251" max="251" width="12.42578125" bestFit="1" customWidth="1"/>
    <col min="252" max="252" width="9.140625" bestFit="1" customWidth="1"/>
    <col min="253" max="253" width="23" bestFit="1" customWidth="1"/>
    <col min="254" max="254" width="9.140625" bestFit="1" customWidth="1"/>
    <col min="255" max="255" width="12.42578125" bestFit="1" customWidth="1"/>
    <col min="256" max="256" width="9.140625" bestFit="1" customWidth="1"/>
    <col min="257" max="257" width="12.42578125" bestFit="1" customWidth="1"/>
    <col min="258" max="258" width="9.140625" bestFit="1" customWidth="1"/>
    <col min="259" max="259" width="23" bestFit="1" customWidth="1"/>
    <col min="260" max="260" width="9.140625" bestFit="1" customWidth="1"/>
    <col min="261" max="261" width="12.42578125" bestFit="1" customWidth="1"/>
    <col min="262" max="262" width="9.140625" bestFit="1" customWidth="1"/>
    <col min="263" max="263" width="23" bestFit="1" customWidth="1"/>
    <col min="264" max="264" width="9.140625" bestFit="1" customWidth="1"/>
    <col min="265" max="265" width="6.42578125" bestFit="1" customWidth="1"/>
    <col min="266" max="266" width="9.140625" bestFit="1" customWidth="1"/>
    <col min="267" max="267" width="6.42578125" bestFit="1" customWidth="1"/>
    <col min="268" max="268" width="9.140625" bestFit="1" customWidth="1"/>
    <col min="269" max="269" width="12.42578125" bestFit="1" customWidth="1"/>
    <col min="270" max="270" width="10.28515625" bestFit="1" customWidth="1"/>
    <col min="271" max="271" width="12.42578125" bestFit="1" customWidth="1"/>
    <col min="272" max="272" width="10.28515625" bestFit="1" customWidth="1"/>
    <col min="273" max="273" width="12.42578125" bestFit="1" customWidth="1"/>
    <col min="274" max="274" width="10.28515625" bestFit="1" customWidth="1"/>
    <col min="275" max="275" width="12.42578125" bestFit="1" customWidth="1"/>
    <col min="276" max="276" width="10.28515625" bestFit="1" customWidth="1"/>
    <col min="277" max="277" width="14.5703125" bestFit="1" customWidth="1"/>
    <col min="278" max="278" width="10.28515625" bestFit="1" customWidth="1"/>
    <col min="279" max="279" width="12.42578125" bestFit="1" customWidth="1"/>
    <col min="280" max="280" width="10.28515625" bestFit="1" customWidth="1"/>
    <col min="281" max="281" width="12.42578125" bestFit="1" customWidth="1"/>
    <col min="282" max="282" width="10.28515625" bestFit="1" customWidth="1"/>
    <col min="283" max="283" width="12.42578125" bestFit="1" customWidth="1"/>
    <col min="284" max="284" width="10.28515625" bestFit="1" customWidth="1"/>
    <col min="285" max="285" width="14.5703125" bestFit="1" customWidth="1"/>
    <col min="286" max="286" width="10.28515625" bestFit="1" customWidth="1"/>
    <col min="287" max="287" width="14.5703125" bestFit="1" customWidth="1"/>
    <col min="288" max="288" width="10.28515625" bestFit="1" customWidth="1"/>
    <col min="289" max="289" width="14.5703125" bestFit="1" customWidth="1"/>
    <col min="290" max="290" width="10.28515625" bestFit="1" customWidth="1"/>
    <col min="291" max="291" width="7" bestFit="1" customWidth="1"/>
    <col min="292" max="292" width="10.28515625" bestFit="1" customWidth="1"/>
    <col min="293" max="293" width="12.42578125" bestFit="1" customWidth="1"/>
    <col min="294" max="294" width="10.28515625" bestFit="1" customWidth="1"/>
    <col min="295" max="295" width="14.5703125" bestFit="1" customWidth="1"/>
    <col min="296" max="296" width="10.28515625" bestFit="1" customWidth="1"/>
    <col min="297" max="297" width="12.42578125" bestFit="1" customWidth="1"/>
    <col min="298" max="298" width="10.28515625" bestFit="1" customWidth="1"/>
    <col min="299" max="299" width="12.42578125" bestFit="1" customWidth="1"/>
    <col min="300" max="300" width="10.28515625" bestFit="1" customWidth="1"/>
    <col min="301" max="301" width="12.42578125" bestFit="1" customWidth="1"/>
    <col min="302" max="302" width="10.28515625" bestFit="1" customWidth="1"/>
    <col min="303" max="303" width="12.42578125" bestFit="1" customWidth="1"/>
    <col min="304" max="304" width="10.28515625" bestFit="1" customWidth="1"/>
    <col min="305" max="305" width="23" bestFit="1" customWidth="1"/>
    <col min="306" max="306" width="10.28515625" bestFit="1" customWidth="1"/>
    <col min="307" max="307" width="23" bestFit="1" customWidth="1"/>
    <col min="308" max="308" width="10.28515625" bestFit="1" customWidth="1"/>
    <col min="309" max="309" width="23" bestFit="1" customWidth="1"/>
    <col min="310" max="310" width="10.28515625" bestFit="1" customWidth="1"/>
    <col min="311" max="311" width="23" bestFit="1" customWidth="1"/>
    <col min="312" max="312" width="10.28515625" bestFit="1" customWidth="1"/>
    <col min="313" max="313" width="12.42578125" bestFit="1" customWidth="1"/>
    <col min="314" max="314" width="10.28515625" bestFit="1" customWidth="1"/>
    <col min="315" max="315" width="14.5703125" bestFit="1" customWidth="1"/>
    <col min="316" max="316" width="10.28515625" bestFit="1" customWidth="1"/>
    <col min="317" max="317" width="12.42578125" bestFit="1" customWidth="1"/>
    <col min="318" max="318" width="10.28515625" bestFit="1" customWidth="1"/>
    <col min="319" max="319" width="23" bestFit="1" customWidth="1"/>
    <col min="320" max="320" width="10.28515625" bestFit="1" customWidth="1"/>
    <col min="321" max="321" width="12.42578125" bestFit="1" customWidth="1"/>
    <col min="322" max="322" width="10.28515625" bestFit="1" customWidth="1"/>
    <col min="323" max="323" width="23" bestFit="1" customWidth="1"/>
    <col min="324" max="324" width="10.28515625" bestFit="1" customWidth="1"/>
    <col min="325" max="325" width="23" bestFit="1" customWidth="1"/>
    <col min="326" max="326" width="10.28515625" bestFit="1" customWidth="1"/>
    <col min="327" max="327" width="12.42578125" bestFit="1" customWidth="1"/>
    <col min="328" max="328" width="10.28515625" bestFit="1" customWidth="1"/>
    <col min="329" max="329" width="23" bestFit="1" customWidth="1"/>
    <col min="330" max="330" width="10.28515625" bestFit="1" customWidth="1"/>
    <col min="331" max="331" width="12.42578125" bestFit="1" customWidth="1"/>
    <col min="332" max="332" width="10.28515625" bestFit="1" customWidth="1"/>
    <col min="333" max="333" width="12.42578125" bestFit="1" customWidth="1"/>
    <col min="334" max="334" width="10.28515625" bestFit="1" customWidth="1"/>
    <col min="335" max="335" width="12.42578125" bestFit="1" customWidth="1"/>
    <col min="336" max="336" width="10.28515625" bestFit="1" customWidth="1"/>
    <col min="337" max="337" width="12.42578125" bestFit="1" customWidth="1"/>
    <col min="338" max="338" width="10.28515625" bestFit="1" customWidth="1"/>
    <col min="339" max="339" width="12.42578125" bestFit="1" customWidth="1"/>
    <col min="340" max="340" width="10.28515625" bestFit="1" customWidth="1"/>
    <col min="341" max="341" width="12.42578125" bestFit="1" customWidth="1"/>
    <col min="342" max="342" width="10.28515625" bestFit="1" customWidth="1"/>
    <col min="343" max="343" width="12.42578125" bestFit="1" customWidth="1"/>
    <col min="344" max="344" width="10.28515625" bestFit="1" customWidth="1"/>
    <col min="345" max="345" width="23" bestFit="1" customWidth="1"/>
    <col min="346" max="346" width="10.28515625" bestFit="1" customWidth="1"/>
    <col min="347" max="347" width="12.42578125" bestFit="1" customWidth="1"/>
    <col min="348" max="348" width="10.28515625" bestFit="1" customWidth="1"/>
    <col min="349" max="349" width="7" bestFit="1" customWidth="1"/>
    <col min="350" max="350" width="10.28515625" bestFit="1" customWidth="1"/>
    <col min="351" max="351" width="12.42578125" bestFit="1" customWidth="1"/>
    <col min="352" max="352" width="10.28515625" bestFit="1" customWidth="1"/>
    <col min="353" max="353" width="23" bestFit="1" customWidth="1"/>
    <col min="354" max="354" width="10.28515625" bestFit="1" customWidth="1"/>
    <col min="355" max="355" width="12.42578125" bestFit="1" customWidth="1"/>
    <col min="356" max="356" width="10.28515625" bestFit="1" customWidth="1"/>
    <col min="357" max="357" width="12.42578125" bestFit="1" customWidth="1"/>
    <col min="358" max="358" width="10.28515625" bestFit="1" customWidth="1"/>
    <col min="359" max="359" width="14.5703125" bestFit="1" customWidth="1"/>
    <col min="360" max="360" width="10.28515625" bestFit="1" customWidth="1"/>
    <col min="361" max="361" width="23" bestFit="1" customWidth="1"/>
    <col min="362" max="362" width="10.28515625" bestFit="1" customWidth="1"/>
    <col min="363" max="363" width="12.42578125" bestFit="1" customWidth="1"/>
    <col min="364" max="364" width="10.28515625" bestFit="1" customWidth="1"/>
    <col min="365" max="365" width="12.42578125" bestFit="1" customWidth="1"/>
    <col min="366" max="366" width="10.28515625" bestFit="1" customWidth="1"/>
    <col min="367" max="367" width="23" bestFit="1" customWidth="1"/>
    <col min="368" max="368" width="10.28515625" bestFit="1" customWidth="1"/>
    <col min="369" max="369" width="14.5703125" bestFit="1" customWidth="1"/>
    <col min="370" max="370" width="10.28515625" bestFit="1" customWidth="1"/>
    <col min="371" max="371" width="12.42578125" bestFit="1" customWidth="1"/>
    <col min="372" max="372" width="10.28515625" bestFit="1" customWidth="1"/>
    <col min="373" max="373" width="23" bestFit="1" customWidth="1"/>
    <col min="374" max="374" width="10.28515625" bestFit="1" customWidth="1"/>
    <col min="375" max="375" width="23" bestFit="1" customWidth="1"/>
    <col min="376" max="376" width="10.28515625" bestFit="1" customWidth="1"/>
    <col min="377" max="377" width="12.42578125" bestFit="1" customWidth="1"/>
    <col min="378" max="378" width="10.28515625" bestFit="1" customWidth="1"/>
    <col min="379" max="379" width="23" bestFit="1" customWidth="1"/>
    <col min="380" max="380" width="10.28515625" bestFit="1" customWidth="1"/>
    <col min="381" max="381" width="12.42578125" bestFit="1" customWidth="1"/>
    <col min="382" max="382" width="10.28515625" bestFit="1" customWidth="1"/>
    <col min="383" max="383" width="12.42578125" bestFit="1" customWidth="1"/>
    <col min="384" max="384" width="10.28515625" bestFit="1" customWidth="1"/>
    <col min="385" max="385" width="23" bestFit="1" customWidth="1"/>
    <col min="386" max="386" width="10.28515625" bestFit="1" customWidth="1"/>
    <col min="387" max="387" width="12.42578125" bestFit="1" customWidth="1"/>
    <col min="388" max="388" width="10.28515625" bestFit="1" customWidth="1"/>
    <col min="389" max="389" width="12.42578125" bestFit="1" customWidth="1"/>
    <col min="390" max="390" width="10.28515625" bestFit="1" customWidth="1"/>
    <col min="391" max="391" width="12.42578125" bestFit="1" customWidth="1"/>
    <col min="392" max="392" width="10.28515625" bestFit="1" customWidth="1"/>
    <col min="393" max="393" width="14.5703125" bestFit="1" customWidth="1"/>
    <col min="394" max="394" width="10.28515625" bestFit="1" customWidth="1"/>
    <col min="395" max="395" width="12.42578125" bestFit="1" customWidth="1"/>
    <col min="396" max="396" width="10.28515625" bestFit="1" customWidth="1"/>
    <col min="397" max="397" width="12.42578125" bestFit="1" customWidth="1"/>
    <col min="398" max="398" width="10.28515625" bestFit="1" customWidth="1"/>
    <col min="399" max="399" width="23" bestFit="1" customWidth="1"/>
    <col min="400" max="400" width="10.28515625" bestFit="1" customWidth="1"/>
    <col min="401" max="401" width="15.42578125" bestFit="1" customWidth="1"/>
    <col min="402" max="402" width="6.42578125" bestFit="1" customWidth="1"/>
    <col min="403" max="403" width="7.85546875" bestFit="1" customWidth="1"/>
    <col min="404" max="404" width="12.42578125" bestFit="1" customWidth="1"/>
    <col min="405" max="405" width="14.5703125" bestFit="1" customWidth="1"/>
    <col min="406" max="406" width="23" bestFit="1" customWidth="1"/>
    <col min="407" max="407" width="7.140625" bestFit="1" customWidth="1"/>
    <col min="408" max="408" width="12.140625" bestFit="1" customWidth="1"/>
    <col min="409" max="409" width="11.42578125" bestFit="1" customWidth="1"/>
  </cols>
  <sheetData>
    <row r="3" spans="1:2" ht="30.75">
      <c r="A3" s="2" t="s">
        <v>14</v>
      </c>
      <c r="B3" s="5" t="s">
        <v>733</v>
      </c>
    </row>
    <row r="4" spans="1:2">
      <c r="A4" t="s">
        <v>86</v>
      </c>
      <c r="B4" s="3">
        <v>258</v>
      </c>
    </row>
    <row r="5" spans="1:2">
      <c r="A5" t="s">
        <v>28</v>
      </c>
      <c r="B5" s="3">
        <v>607.1875</v>
      </c>
    </row>
    <row r="6" spans="1:2">
      <c r="A6" t="s">
        <v>358</v>
      </c>
      <c r="B6" s="3"/>
    </row>
    <row r="7" spans="1:2">
      <c r="A7" t="s">
        <v>92</v>
      </c>
      <c r="B7" s="3">
        <v>898.07407407407402</v>
      </c>
    </row>
    <row r="8" spans="1:2">
      <c r="A8" t="s">
        <v>368</v>
      </c>
      <c r="B8" s="3">
        <v>1014.5932203389831</v>
      </c>
    </row>
    <row r="9" spans="1:2">
      <c r="A9" t="s">
        <v>206</v>
      </c>
      <c r="B9" s="3">
        <v>1130.4905660377358</v>
      </c>
    </row>
    <row r="10" spans="1:2">
      <c r="A10" t="s">
        <v>731</v>
      </c>
      <c r="B10" s="3"/>
    </row>
    <row r="11" spans="1:2">
      <c r="A11" t="s">
        <v>732</v>
      </c>
      <c r="B11" s="3">
        <v>994.69302325581396</v>
      </c>
    </row>
    <row r="23" spans="1:7" ht="45.75">
      <c r="A23" s="2" t="s">
        <v>24</v>
      </c>
      <c r="B23" s="5" t="s">
        <v>734</v>
      </c>
      <c r="C23" s="5" t="s">
        <v>735</v>
      </c>
      <c r="E23" s="4" t="s">
        <v>736</v>
      </c>
      <c r="F23" s="4" t="s">
        <v>737</v>
      </c>
      <c r="G23" s="4" t="s">
        <v>738</v>
      </c>
    </row>
    <row r="24" spans="1:7" ht="45.75">
      <c r="A24" s="1">
        <v>1</v>
      </c>
      <c r="B24" s="3">
        <v>46434</v>
      </c>
      <c r="C24" s="3">
        <v>139302</v>
      </c>
      <c r="E24" s="6" t="s">
        <v>24</v>
      </c>
      <c r="F24" s="6" t="s">
        <v>734</v>
      </c>
      <c r="G24" s="6" t="s">
        <v>735</v>
      </c>
    </row>
    <row r="25" spans="1:7">
      <c r="A25" s="1">
        <v>25750</v>
      </c>
      <c r="B25" s="3">
        <v>28</v>
      </c>
      <c r="C25" s="3">
        <v>28</v>
      </c>
      <c r="E25" s="1"/>
      <c r="F25" s="3"/>
      <c r="G25" s="3"/>
    </row>
    <row r="26" spans="1:7">
      <c r="A26" s="1">
        <v>35612</v>
      </c>
      <c r="B26" s="3">
        <v>16461</v>
      </c>
      <c r="C26" s="3">
        <v>16461</v>
      </c>
      <c r="E26" s="1"/>
      <c r="F26" s="3"/>
      <c r="G26" s="3"/>
    </row>
    <row r="27" spans="1:7">
      <c r="A27" s="1">
        <v>36069</v>
      </c>
      <c r="B27" s="3">
        <v>13699</v>
      </c>
      <c r="C27" s="3">
        <v>13699</v>
      </c>
      <c r="E27" s="1">
        <v>35612</v>
      </c>
      <c r="F27" s="3">
        <v>16461</v>
      </c>
      <c r="G27" s="3">
        <v>16461</v>
      </c>
    </row>
    <row r="28" spans="1:7">
      <c r="A28" s="1">
        <v>36161</v>
      </c>
      <c r="B28" s="3">
        <v>32361</v>
      </c>
      <c r="C28" s="3">
        <v>32361</v>
      </c>
      <c r="E28" s="1">
        <v>36069</v>
      </c>
      <c r="F28" s="3">
        <v>13699</v>
      </c>
      <c r="G28" s="3">
        <v>13699</v>
      </c>
    </row>
    <row r="29" spans="1:7">
      <c r="A29" s="1">
        <v>36617</v>
      </c>
      <c r="B29" s="3">
        <v>13599</v>
      </c>
      <c r="C29" s="3">
        <v>13599</v>
      </c>
      <c r="E29" s="1">
        <v>36161</v>
      </c>
      <c r="F29" s="3">
        <v>32361</v>
      </c>
      <c r="G29" s="3">
        <v>32361</v>
      </c>
    </row>
    <row r="30" spans="1:7">
      <c r="A30" s="1">
        <v>36892</v>
      </c>
      <c r="B30" s="3">
        <v>2321</v>
      </c>
      <c r="C30" s="3">
        <v>2321</v>
      </c>
      <c r="E30" s="1">
        <v>36617</v>
      </c>
      <c r="F30" s="3">
        <v>13599</v>
      </c>
      <c r="G30" s="3">
        <v>13599</v>
      </c>
    </row>
    <row r="31" spans="1:7">
      <c r="A31" s="1">
        <v>37165</v>
      </c>
      <c r="B31" s="3">
        <v>442</v>
      </c>
      <c r="C31" s="3">
        <v>442</v>
      </c>
      <c r="E31" s="1">
        <v>36892</v>
      </c>
      <c r="F31" s="3">
        <v>2321</v>
      </c>
      <c r="G31" s="3">
        <v>2321</v>
      </c>
    </row>
    <row r="32" spans="1:7">
      <c r="A32" s="1">
        <v>37987</v>
      </c>
      <c r="B32" s="3">
        <v>2178</v>
      </c>
      <c r="C32" s="3">
        <v>2178</v>
      </c>
      <c r="E32" s="1">
        <v>37165</v>
      </c>
      <c r="F32" s="3">
        <v>442</v>
      </c>
      <c r="G32" s="3">
        <v>442</v>
      </c>
    </row>
    <row r="33" spans="1:7">
      <c r="A33" s="1">
        <v>38261</v>
      </c>
      <c r="B33" s="3">
        <v>105180</v>
      </c>
      <c r="C33" s="3">
        <v>210360</v>
      </c>
      <c r="E33" s="1">
        <v>37987</v>
      </c>
      <c r="F33" s="3">
        <v>2178</v>
      </c>
      <c r="G33" s="3">
        <v>2178</v>
      </c>
    </row>
    <row r="34" spans="1:7">
      <c r="A34" s="1">
        <v>38443</v>
      </c>
      <c r="B34" s="3">
        <v>12128</v>
      </c>
      <c r="C34" s="3">
        <v>12128</v>
      </c>
      <c r="E34" s="1">
        <v>38261</v>
      </c>
      <c r="F34" s="3">
        <v>105180</v>
      </c>
      <c r="G34" s="3">
        <v>210360</v>
      </c>
    </row>
    <row r="35" spans="1:7">
      <c r="A35" s="1">
        <v>38534</v>
      </c>
      <c r="B35" s="3">
        <v>1171</v>
      </c>
      <c r="C35" s="3">
        <v>1171</v>
      </c>
      <c r="E35" s="1">
        <v>38443</v>
      </c>
      <c r="F35" s="3">
        <v>12128</v>
      </c>
      <c r="G35" s="3">
        <v>12128</v>
      </c>
    </row>
    <row r="36" spans="1:7">
      <c r="A36" s="1">
        <v>38808</v>
      </c>
      <c r="B36" s="3">
        <v>4313</v>
      </c>
      <c r="C36" s="3">
        <v>4313</v>
      </c>
      <c r="E36" s="1">
        <v>38534</v>
      </c>
      <c r="F36" s="3">
        <v>1171</v>
      </c>
      <c r="G36" s="3">
        <v>1171</v>
      </c>
    </row>
    <row r="37" spans="1:7">
      <c r="A37" s="1">
        <v>38991</v>
      </c>
      <c r="B37" s="3">
        <v>1078531</v>
      </c>
      <c r="C37" s="3">
        <v>1078531</v>
      </c>
      <c r="E37" s="1">
        <v>38808</v>
      </c>
      <c r="F37" s="3">
        <v>4313</v>
      </c>
      <c r="G37" s="3">
        <v>4313</v>
      </c>
    </row>
    <row r="38" spans="1:7">
      <c r="A38" s="1">
        <v>39083</v>
      </c>
      <c r="B38" s="3">
        <v>1369</v>
      </c>
      <c r="C38" s="3">
        <v>1369</v>
      </c>
      <c r="E38" s="1">
        <v>38991</v>
      </c>
      <c r="F38" s="3">
        <v>1078531</v>
      </c>
      <c r="G38" s="3">
        <v>1078531</v>
      </c>
    </row>
    <row r="39" spans="1:7">
      <c r="A39" s="1">
        <v>39264</v>
      </c>
      <c r="B39" s="3">
        <v>25029</v>
      </c>
      <c r="C39" s="3">
        <v>25029</v>
      </c>
      <c r="E39" s="1">
        <v>39083</v>
      </c>
      <c r="F39" s="3">
        <v>1369</v>
      </c>
      <c r="G39" s="3">
        <v>1369</v>
      </c>
    </row>
    <row r="40" spans="1:7">
      <c r="A40" s="1">
        <v>39356</v>
      </c>
      <c r="B40" s="3">
        <v>171312</v>
      </c>
      <c r="C40" s="3">
        <v>171312</v>
      </c>
      <c r="E40" s="1">
        <v>39264</v>
      </c>
      <c r="F40" s="3">
        <v>25029</v>
      </c>
      <c r="G40" s="3">
        <v>25029</v>
      </c>
    </row>
    <row r="41" spans="1:7">
      <c r="A41" s="1">
        <v>39722</v>
      </c>
      <c r="B41" s="3">
        <v>31162</v>
      </c>
      <c r="C41" s="3">
        <v>62324</v>
      </c>
      <c r="E41" s="1">
        <v>39356</v>
      </c>
      <c r="F41" s="3">
        <v>171312</v>
      </c>
      <c r="G41" s="3">
        <v>171312</v>
      </c>
    </row>
    <row r="42" spans="1:7">
      <c r="A42" s="1">
        <v>39814</v>
      </c>
      <c r="B42" s="3">
        <v>2592</v>
      </c>
      <c r="C42" s="3">
        <v>2592</v>
      </c>
      <c r="E42" s="1">
        <v>39722</v>
      </c>
      <c r="F42" s="3">
        <v>31162</v>
      </c>
      <c r="G42" s="3">
        <v>62324</v>
      </c>
    </row>
    <row r="43" spans="1:7">
      <c r="A43" s="1">
        <v>40087</v>
      </c>
      <c r="B43" s="3">
        <v>411020</v>
      </c>
      <c r="C43" s="3">
        <v>822040</v>
      </c>
      <c r="E43" s="1">
        <v>39814</v>
      </c>
      <c r="F43" s="3">
        <v>2592</v>
      </c>
      <c r="G43" s="3">
        <v>2592</v>
      </c>
    </row>
    <row r="44" spans="1:7">
      <c r="A44" s="1">
        <v>40179</v>
      </c>
      <c r="B44" s="3">
        <v>11402</v>
      </c>
      <c r="C44" s="3">
        <v>11402</v>
      </c>
      <c r="E44" s="1">
        <v>40087</v>
      </c>
      <c r="F44" s="3">
        <v>411020</v>
      </c>
      <c r="G44" s="3">
        <v>822040</v>
      </c>
    </row>
    <row r="45" spans="1:7">
      <c r="A45" s="1">
        <v>40360</v>
      </c>
      <c r="B45" s="3">
        <v>10524.333333333334</v>
      </c>
      <c r="C45" s="3">
        <v>31573</v>
      </c>
      <c r="E45" s="1">
        <v>40179</v>
      </c>
      <c r="F45" s="3">
        <v>11402</v>
      </c>
      <c r="G45" s="3">
        <v>11402</v>
      </c>
    </row>
    <row r="46" spans="1:7">
      <c r="A46" s="1">
        <v>40452</v>
      </c>
      <c r="B46" s="3">
        <v>209520</v>
      </c>
      <c r="C46" s="3">
        <v>209520</v>
      </c>
      <c r="E46" s="1">
        <v>40360</v>
      </c>
      <c r="F46" s="3">
        <v>10524.333333333334</v>
      </c>
      <c r="G46" s="3">
        <v>31573</v>
      </c>
    </row>
    <row r="47" spans="1:7">
      <c r="A47" s="1">
        <v>40544</v>
      </c>
      <c r="B47" s="3">
        <v>10860</v>
      </c>
      <c r="C47" s="3">
        <v>21720</v>
      </c>
      <c r="E47" s="1">
        <v>40452</v>
      </c>
      <c r="F47" s="3">
        <v>209520</v>
      </c>
      <c r="G47" s="3">
        <v>209520</v>
      </c>
    </row>
    <row r="48" spans="1:7">
      <c r="A48" s="1">
        <v>40634</v>
      </c>
      <c r="B48" s="3">
        <v>805929</v>
      </c>
      <c r="C48" s="3">
        <v>1611858</v>
      </c>
      <c r="E48" s="1">
        <v>40544</v>
      </c>
      <c r="F48" s="3">
        <v>10860</v>
      </c>
      <c r="G48" s="3">
        <v>21720</v>
      </c>
    </row>
    <row r="49" spans="1:7">
      <c r="A49" s="1">
        <v>40725</v>
      </c>
      <c r="B49" s="3">
        <v>4282.5</v>
      </c>
      <c r="C49" s="3">
        <v>8565</v>
      </c>
      <c r="E49" s="1">
        <v>40634</v>
      </c>
      <c r="F49" s="3">
        <v>805929</v>
      </c>
      <c r="G49" s="3">
        <v>1611858</v>
      </c>
    </row>
    <row r="50" spans="1:7">
      <c r="A50" s="1">
        <v>40909</v>
      </c>
      <c r="B50" s="3">
        <v>73762</v>
      </c>
      <c r="C50" s="3">
        <v>73762</v>
      </c>
      <c r="E50" s="1">
        <v>40725</v>
      </c>
      <c r="F50" s="3">
        <v>4282.5</v>
      </c>
      <c r="G50" s="3">
        <v>8565</v>
      </c>
    </row>
    <row r="51" spans="1:7">
      <c r="A51" s="1">
        <v>41091</v>
      </c>
      <c r="B51" s="3">
        <v>93502.666666666672</v>
      </c>
      <c r="C51" s="3">
        <v>280508</v>
      </c>
      <c r="E51" s="1">
        <v>40909</v>
      </c>
      <c r="F51" s="3">
        <v>73762</v>
      </c>
      <c r="G51" s="3">
        <v>73762</v>
      </c>
    </row>
    <row r="52" spans="1:7">
      <c r="A52" s="1">
        <v>41183</v>
      </c>
      <c r="B52" s="3">
        <v>47526.400000000001</v>
      </c>
      <c r="C52" s="3">
        <v>237632</v>
      </c>
      <c r="E52" s="1">
        <v>41091</v>
      </c>
      <c r="F52" s="3">
        <v>93502.666666666672</v>
      </c>
      <c r="G52" s="3">
        <v>280508</v>
      </c>
    </row>
    <row r="53" spans="1:7">
      <c r="A53" s="1">
        <v>41275</v>
      </c>
      <c r="B53" s="3">
        <v>194798</v>
      </c>
      <c r="C53" s="3">
        <v>779192</v>
      </c>
      <c r="E53" s="1">
        <v>41183</v>
      </c>
      <c r="F53" s="3">
        <v>47526.400000000001</v>
      </c>
      <c r="G53" s="3">
        <v>237632</v>
      </c>
    </row>
    <row r="54" spans="1:7">
      <c r="A54" s="1">
        <v>41365</v>
      </c>
      <c r="B54" s="3">
        <v>47061.5</v>
      </c>
      <c r="C54" s="3">
        <v>188246</v>
      </c>
      <c r="E54" s="1">
        <v>41275</v>
      </c>
      <c r="F54" s="3">
        <v>194798</v>
      </c>
      <c r="G54" s="3">
        <v>779192</v>
      </c>
    </row>
    <row r="55" spans="1:7">
      <c r="A55" s="1">
        <v>41456</v>
      </c>
      <c r="B55" s="3">
        <v>223931.25</v>
      </c>
      <c r="C55" s="3">
        <v>895725</v>
      </c>
      <c r="E55" s="1">
        <v>41365</v>
      </c>
      <c r="F55" s="3">
        <v>47061.5</v>
      </c>
      <c r="G55" s="3">
        <v>188246</v>
      </c>
    </row>
    <row r="56" spans="1:7">
      <c r="A56" s="1">
        <v>41548</v>
      </c>
      <c r="B56" s="3">
        <v>34993.5</v>
      </c>
      <c r="C56" s="3">
        <v>69987</v>
      </c>
      <c r="E56" s="1">
        <v>41456</v>
      </c>
      <c r="F56" s="3">
        <v>223931.25</v>
      </c>
      <c r="G56" s="3">
        <v>895725</v>
      </c>
    </row>
    <row r="57" spans="1:7">
      <c r="A57" s="1">
        <v>41640</v>
      </c>
      <c r="B57" s="3">
        <v>4797.166666666667</v>
      </c>
      <c r="C57" s="3">
        <v>28783</v>
      </c>
      <c r="E57" s="1">
        <v>41548</v>
      </c>
      <c r="F57" s="3">
        <v>34993.5</v>
      </c>
      <c r="G57" s="3">
        <v>69987</v>
      </c>
    </row>
    <row r="58" spans="1:7">
      <c r="A58" s="1">
        <v>41730</v>
      </c>
      <c r="B58" s="3">
        <v>21302</v>
      </c>
      <c r="C58" s="3">
        <v>21302</v>
      </c>
      <c r="E58" s="1">
        <v>41640</v>
      </c>
      <c r="F58" s="3">
        <v>4797.166666666667</v>
      </c>
      <c r="G58" s="3">
        <v>28783</v>
      </c>
    </row>
    <row r="59" spans="1:7">
      <c r="A59" s="1">
        <v>41821</v>
      </c>
      <c r="B59" s="3">
        <v>27839.5</v>
      </c>
      <c r="C59" s="3">
        <v>167037</v>
      </c>
      <c r="E59" s="1">
        <v>41730</v>
      </c>
      <c r="F59" s="3">
        <v>21302</v>
      </c>
      <c r="G59" s="3">
        <v>21302</v>
      </c>
    </row>
    <row r="60" spans="1:7">
      <c r="A60" s="1">
        <v>41913</v>
      </c>
      <c r="B60" s="3">
        <v>13319</v>
      </c>
      <c r="C60" s="3">
        <v>13319</v>
      </c>
      <c r="E60" s="1">
        <v>41821</v>
      </c>
      <c r="F60" s="3">
        <v>27839.5</v>
      </c>
      <c r="G60" s="3">
        <v>167037</v>
      </c>
    </row>
    <row r="61" spans="1:7">
      <c r="A61" s="1">
        <v>42005</v>
      </c>
      <c r="B61" s="3">
        <v>23593.5</v>
      </c>
      <c r="C61" s="3">
        <v>141561</v>
      </c>
      <c r="E61" s="1">
        <v>41913</v>
      </c>
      <c r="F61" s="3">
        <v>13319</v>
      </c>
      <c r="G61" s="3">
        <v>13319</v>
      </c>
    </row>
    <row r="62" spans="1:7">
      <c r="A62" s="1">
        <v>42095</v>
      </c>
      <c r="B62" s="3">
        <v>88266.090909090912</v>
      </c>
      <c r="C62" s="3">
        <v>970927</v>
      </c>
      <c r="E62" s="1">
        <v>42005</v>
      </c>
      <c r="F62" s="3">
        <v>23593.5</v>
      </c>
      <c r="G62" s="3">
        <v>141561</v>
      </c>
    </row>
    <row r="63" spans="1:7">
      <c r="A63" s="1">
        <v>42186</v>
      </c>
      <c r="B63" s="3">
        <v>36884.454545454544</v>
      </c>
      <c r="C63" s="3">
        <v>405729</v>
      </c>
      <c r="E63" s="1">
        <v>42095</v>
      </c>
      <c r="F63" s="3">
        <v>88266.090909090912</v>
      </c>
      <c r="G63" s="3">
        <v>970927</v>
      </c>
    </row>
    <row r="64" spans="1:7">
      <c r="A64" s="1">
        <v>42278</v>
      </c>
      <c r="B64" s="3">
        <v>224516.85714285713</v>
      </c>
      <c r="C64" s="3">
        <v>1571618</v>
      </c>
      <c r="E64" s="1">
        <v>42186</v>
      </c>
      <c r="F64" s="3">
        <v>36884.454545454544</v>
      </c>
      <c r="G64" s="3">
        <v>405729</v>
      </c>
    </row>
    <row r="65" spans="1:7">
      <c r="A65" s="1">
        <v>42370</v>
      </c>
      <c r="B65" s="3">
        <v>38656.714285714283</v>
      </c>
      <c r="C65" s="3">
        <v>270597</v>
      </c>
      <c r="E65" s="1">
        <v>42278</v>
      </c>
      <c r="F65" s="3">
        <v>224516.85714285713</v>
      </c>
      <c r="G65" s="3">
        <v>1571618</v>
      </c>
    </row>
    <row r="66" spans="1:7">
      <c r="A66" s="1">
        <v>42461</v>
      </c>
      <c r="B66" s="3">
        <v>110492.16666666667</v>
      </c>
      <c r="C66" s="3">
        <v>1325906</v>
      </c>
      <c r="E66" s="1">
        <v>42370</v>
      </c>
      <c r="F66" s="3">
        <v>38656.714285714283</v>
      </c>
      <c r="G66" s="3">
        <v>270597</v>
      </c>
    </row>
    <row r="67" spans="1:7">
      <c r="A67" s="1">
        <v>42552</v>
      </c>
      <c r="B67" s="3">
        <v>14467.363636363636</v>
      </c>
      <c r="C67" s="3">
        <v>159141</v>
      </c>
      <c r="E67" s="1">
        <v>42461</v>
      </c>
      <c r="F67" s="3">
        <v>110492.16666666667</v>
      </c>
      <c r="G67" s="3">
        <v>1325906</v>
      </c>
    </row>
    <row r="68" spans="1:7">
      <c r="A68" s="1">
        <v>42644</v>
      </c>
      <c r="B68" s="3">
        <v>40753.199999999997</v>
      </c>
      <c r="C68" s="3">
        <v>203766</v>
      </c>
      <c r="E68" s="1">
        <v>42552</v>
      </c>
      <c r="F68" s="3">
        <v>14467.363636363636</v>
      </c>
      <c r="G68" s="3">
        <v>159141</v>
      </c>
    </row>
    <row r="69" spans="1:7">
      <c r="A69" s="1">
        <v>42736</v>
      </c>
      <c r="B69" s="3">
        <v>175558</v>
      </c>
      <c r="C69" s="3">
        <v>877790</v>
      </c>
      <c r="E69" s="1">
        <v>42644</v>
      </c>
      <c r="F69" s="3">
        <v>40753.199999999997</v>
      </c>
      <c r="G69" s="3">
        <v>203766</v>
      </c>
    </row>
    <row r="70" spans="1:7">
      <c r="A70" s="1">
        <v>42826</v>
      </c>
      <c r="B70" s="3">
        <v>20790.857142857141</v>
      </c>
      <c r="C70" s="3">
        <v>145536</v>
      </c>
      <c r="E70" s="1">
        <v>42736</v>
      </c>
      <c r="F70" s="3">
        <v>175558</v>
      </c>
      <c r="G70" s="3">
        <v>877790</v>
      </c>
    </row>
    <row r="71" spans="1:7">
      <c r="A71" s="1">
        <v>42917</v>
      </c>
      <c r="B71" s="3">
        <v>89926.538461538468</v>
      </c>
      <c r="C71" s="3">
        <v>1169045</v>
      </c>
      <c r="E71" s="1">
        <v>42826</v>
      </c>
      <c r="F71" s="3">
        <v>20790.857142857141</v>
      </c>
      <c r="G71" s="3">
        <v>145536</v>
      </c>
    </row>
    <row r="72" spans="1:7">
      <c r="A72" s="1">
        <v>43009</v>
      </c>
      <c r="B72" s="3">
        <v>11551.75</v>
      </c>
      <c r="C72" s="3">
        <v>92414</v>
      </c>
      <c r="E72" s="1">
        <v>42917</v>
      </c>
      <c r="F72" s="3">
        <v>89926.538461538468</v>
      </c>
      <c r="G72" s="3">
        <v>1169045</v>
      </c>
    </row>
    <row r="73" spans="1:7">
      <c r="A73" s="1">
        <v>43101</v>
      </c>
      <c r="B73" s="3">
        <v>30171.888888888891</v>
      </c>
      <c r="C73" s="3">
        <v>271547</v>
      </c>
      <c r="E73" s="1">
        <v>43009</v>
      </c>
      <c r="F73" s="3">
        <v>11551.75</v>
      </c>
      <c r="G73" s="3">
        <v>92414</v>
      </c>
    </row>
    <row r="74" spans="1:7">
      <c r="A74" s="1">
        <v>43191</v>
      </c>
      <c r="B74" s="3">
        <v>79079.375</v>
      </c>
      <c r="C74" s="3">
        <v>632635</v>
      </c>
      <c r="E74" s="1">
        <v>43101</v>
      </c>
      <c r="F74" s="3">
        <v>30171.888888888891</v>
      </c>
      <c r="G74" s="3">
        <v>271547</v>
      </c>
    </row>
    <row r="75" spans="1:7">
      <c r="A75" s="1">
        <v>43282</v>
      </c>
      <c r="B75" s="3">
        <v>8453.6153846153848</v>
      </c>
      <c r="C75" s="3">
        <v>109897</v>
      </c>
      <c r="E75" s="1">
        <v>43191</v>
      </c>
      <c r="F75" s="3">
        <v>79079.375</v>
      </c>
      <c r="G75" s="3">
        <v>632635</v>
      </c>
    </row>
    <row r="76" spans="1:7">
      <c r="A76" s="1">
        <v>43374</v>
      </c>
      <c r="B76" s="3">
        <v>212607</v>
      </c>
      <c r="C76" s="3">
        <v>2338677</v>
      </c>
      <c r="E76" s="1">
        <v>43282</v>
      </c>
      <c r="F76" s="3">
        <v>8453.6153846153848</v>
      </c>
      <c r="G76" s="3">
        <v>109897</v>
      </c>
    </row>
    <row r="77" spans="1:7">
      <c r="A77" s="1">
        <v>43466</v>
      </c>
      <c r="B77" s="3">
        <v>88962.28571428571</v>
      </c>
      <c r="C77" s="3">
        <v>622736</v>
      </c>
      <c r="E77" s="1">
        <v>43374</v>
      </c>
      <c r="F77" s="3">
        <v>212607</v>
      </c>
      <c r="G77" s="3">
        <v>2338677</v>
      </c>
    </row>
    <row r="78" spans="1:7">
      <c r="A78" s="1">
        <v>43556</v>
      </c>
      <c r="B78" s="3">
        <v>22467.9</v>
      </c>
      <c r="C78" s="3">
        <v>224679</v>
      </c>
      <c r="E78" s="1">
        <v>43466</v>
      </c>
      <c r="F78" s="3">
        <v>88962.28571428571</v>
      </c>
      <c r="G78" s="3">
        <v>622736</v>
      </c>
    </row>
    <row r="79" spans="1:7">
      <c r="A79" s="1">
        <v>43647</v>
      </c>
      <c r="B79" s="3">
        <v>30137.4</v>
      </c>
      <c r="C79" s="3">
        <v>150687</v>
      </c>
      <c r="E79" s="1">
        <v>43556</v>
      </c>
      <c r="F79" s="3">
        <v>22467.9</v>
      </c>
      <c r="G79" s="3">
        <v>224679</v>
      </c>
    </row>
    <row r="80" spans="1:7">
      <c r="A80" s="1">
        <v>43739</v>
      </c>
      <c r="B80" s="3">
        <v>3915.25</v>
      </c>
      <c r="C80" s="3">
        <v>15661</v>
      </c>
      <c r="E80" s="1">
        <v>43647</v>
      </c>
      <c r="F80" s="3">
        <v>30137.4</v>
      </c>
      <c r="G80" s="3">
        <v>150687</v>
      </c>
    </row>
    <row r="81" spans="1:7">
      <c r="A81" s="1">
        <v>43831</v>
      </c>
      <c r="B81" s="3">
        <v>26506</v>
      </c>
      <c r="C81" s="3">
        <v>53012</v>
      </c>
      <c r="E81" s="1">
        <v>43739</v>
      </c>
      <c r="F81" s="3">
        <v>3915.25</v>
      </c>
      <c r="G81" s="3">
        <v>15661</v>
      </c>
    </row>
    <row r="82" spans="1:7">
      <c r="A82" s="1">
        <v>43922</v>
      </c>
      <c r="B82" s="3">
        <v>267763.33333333331</v>
      </c>
      <c r="C82" s="3">
        <v>803290</v>
      </c>
      <c r="E82" s="1">
        <v>43831</v>
      </c>
      <c r="F82" s="3">
        <v>26506</v>
      </c>
      <c r="G82" s="3">
        <v>53012</v>
      </c>
    </row>
    <row r="83" spans="1:7">
      <c r="A83" s="1">
        <v>44013</v>
      </c>
      <c r="B83" s="3">
        <v>126300.6</v>
      </c>
      <c r="C83" s="3">
        <v>631503</v>
      </c>
      <c r="E83" s="1">
        <v>43922</v>
      </c>
      <c r="F83" s="3">
        <v>267763.33333333331</v>
      </c>
      <c r="G83" s="3">
        <v>803290</v>
      </c>
    </row>
    <row r="84" spans="1:7">
      <c r="A84" s="1">
        <v>44105</v>
      </c>
      <c r="B84" s="3">
        <v>4979</v>
      </c>
      <c r="C84" s="3">
        <v>4979</v>
      </c>
      <c r="E84" s="1">
        <v>44013</v>
      </c>
      <c r="F84" s="3">
        <v>126300.6</v>
      </c>
      <c r="G84" s="3">
        <v>631503</v>
      </c>
    </row>
    <row r="85" spans="1:7">
      <c r="A85" s="1">
        <v>44470</v>
      </c>
      <c r="B85" s="3">
        <v>33949</v>
      </c>
      <c r="C85" s="3">
        <v>33949</v>
      </c>
      <c r="E85" s="1">
        <v>44105</v>
      </c>
      <c r="F85" s="3">
        <v>4979</v>
      </c>
      <c r="G85" s="3">
        <v>4979</v>
      </c>
    </row>
    <row r="86" spans="1:7">
      <c r="A86" s="1">
        <v>44562</v>
      </c>
      <c r="B86" s="3">
        <v>823410</v>
      </c>
      <c r="C86" s="3">
        <v>823410</v>
      </c>
      <c r="E86" s="1">
        <v>44470</v>
      </c>
      <c r="F86" s="3">
        <v>33949</v>
      </c>
      <c r="G86" s="3">
        <v>33949</v>
      </c>
    </row>
    <row r="87" spans="1:7">
      <c r="A87" s="1">
        <v>44927</v>
      </c>
      <c r="B87" s="3">
        <v>3208</v>
      </c>
      <c r="C87" s="3">
        <v>3208</v>
      </c>
      <c r="E87" s="1">
        <v>44562</v>
      </c>
      <c r="F87" s="3">
        <v>823410</v>
      </c>
      <c r="G87" s="3">
        <v>823410</v>
      </c>
    </row>
    <row r="88" spans="1:7">
      <c r="A88" s="1">
        <v>45017</v>
      </c>
      <c r="B88" s="3">
        <v>81850</v>
      </c>
      <c r="C88" s="3">
        <v>163700</v>
      </c>
      <c r="E88" s="1">
        <v>44927</v>
      </c>
      <c r="F88" s="3">
        <v>3208</v>
      </c>
      <c r="G88" s="3">
        <v>3208</v>
      </c>
    </row>
    <row r="89" spans="1:7">
      <c r="A89" s="1">
        <v>45200</v>
      </c>
      <c r="B89" s="3">
        <v>410566</v>
      </c>
      <c r="C89" s="3">
        <v>410566</v>
      </c>
      <c r="E89" s="1">
        <v>45017</v>
      </c>
      <c r="F89" s="3">
        <v>81850</v>
      </c>
      <c r="G89" s="3">
        <v>163700</v>
      </c>
    </row>
    <row r="90" spans="1:7">
      <c r="A90" s="1">
        <v>45383</v>
      </c>
      <c r="B90" s="3">
        <v>35188</v>
      </c>
      <c r="C90" s="3">
        <v>70376</v>
      </c>
      <c r="E90" s="1">
        <v>45200</v>
      </c>
      <c r="F90" s="3">
        <v>410566</v>
      </c>
      <c r="G90" s="3">
        <v>410566</v>
      </c>
    </row>
    <row r="91" spans="1:7">
      <c r="A91" s="1">
        <v>45474</v>
      </c>
      <c r="B91" s="3">
        <v>8</v>
      </c>
      <c r="C91" s="3">
        <v>8</v>
      </c>
      <c r="E91" s="1">
        <v>45383</v>
      </c>
      <c r="F91" s="3">
        <v>35188</v>
      </c>
      <c r="G91" s="3">
        <v>70376</v>
      </c>
    </row>
    <row r="92" spans="1:7">
      <c r="A92" s="1">
        <v>45566</v>
      </c>
      <c r="B92" s="3">
        <v>86</v>
      </c>
      <c r="C92" s="3">
        <v>86</v>
      </c>
      <c r="E92" s="1">
        <v>45474</v>
      </c>
      <c r="F92" s="3">
        <v>8</v>
      </c>
      <c r="G92" s="3">
        <v>8</v>
      </c>
    </row>
    <row r="93" spans="1:7">
      <c r="A93" s="1">
        <v>45748</v>
      </c>
      <c r="B93" s="3">
        <v>127379</v>
      </c>
      <c r="C93" s="3">
        <v>127379</v>
      </c>
      <c r="E93" s="1">
        <v>45566</v>
      </c>
      <c r="F93" s="3">
        <v>86</v>
      </c>
      <c r="G93" s="3">
        <v>86</v>
      </c>
    </row>
    <row r="94" spans="1:7">
      <c r="A94" s="1">
        <v>45839</v>
      </c>
      <c r="B94" s="3">
        <v>327</v>
      </c>
      <c r="C94" s="3">
        <v>327</v>
      </c>
      <c r="E94" s="1">
        <v>45748</v>
      </c>
      <c r="F94" s="3">
        <v>127379</v>
      </c>
      <c r="G94" s="3">
        <v>127379</v>
      </c>
    </row>
    <row r="95" spans="1:7">
      <c r="A95" s="1">
        <v>45931</v>
      </c>
      <c r="B95" s="3">
        <v>2619</v>
      </c>
      <c r="C95" s="3">
        <v>2619</v>
      </c>
      <c r="E95" s="1">
        <v>45839</v>
      </c>
      <c r="F95" s="3">
        <v>327</v>
      </c>
      <c r="G95" s="3">
        <v>327</v>
      </c>
    </row>
    <row r="96" spans="1:7">
      <c r="A96" s="1">
        <v>46023</v>
      </c>
      <c r="B96" s="3">
        <v>172980</v>
      </c>
      <c r="C96" s="3">
        <v>172980</v>
      </c>
      <c r="E96" s="1">
        <v>45931</v>
      </c>
      <c r="F96" s="3">
        <v>2619</v>
      </c>
      <c r="G96" s="3">
        <v>2619</v>
      </c>
    </row>
    <row r="97" spans="1:7">
      <c r="A97" s="1">
        <v>46113</v>
      </c>
      <c r="B97" s="3">
        <v>1004</v>
      </c>
      <c r="C97" s="3">
        <v>1004</v>
      </c>
      <c r="E97" s="1">
        <v>46023</v>
      </c>
      <c r="F97" s="3">
        <v>172980</v>
      </c>
      <c r="G97" s="3">
        <v>172980</v>
      </c>
    </row>
    <row r="98" spans="1:7">
      <c r="A98" s="1" t="s">
        <v>732</v>
      </c>
      <c r="B98" s="3">
        <v>82768.163568773234</v>
      </c>
      <c r="C98" s="3">
        <v>22264636</v>
      </c>
      <c r="E98" s="1">
        <v>46113</v>
      </c>
      <c r="F98" s="3">
        <v>1004</v>
      </c>
      <c r="G98" s="3">
        <v>1004</v>
      </c>
    </row>
  </sheetData>
  <pageMargins left="0.7" right="0.7" top="0.75" bottom="0.75" header="0.3" footer="0.3"/>
  <drawing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6F617-C338-4C7A-ABD6-98C0BA0AA8B9}">
  <dimension ref="A1:H70"/>
  <sheetViews>
    <sheetView topLeftCell="A49" workbookViewId="0">
      <selection activeCell="A67" sqref="A67:H70"/>
    </sheetView>
  </sheetViews>
  <sheetFormatPr defaultRowHeight="15"/>
  <cols>
    <col min="1" max="8" width="18.28515625" customWidth="1"/>
  </cols>
  <sheetData>
    <row r="1" spans="1:8">
      <c r="A1" s="18" t="s">
        <v>739</v>
      </c>
      <c r="B1" s="13"/>
      <c r="C1" s="13"/>
      <c r="D1" s="13"/>
      <c r="E1" s="13"/>
      <c r="F1" s="13"/>
      <c r="G1" s="13"/>
      <c r="H1" s="13"/>
    </row>
    <row r="2" spans="1:8">
      <c r="A2" s="13"/>
      <c r="B2" s="13"/>
      <c r="C2" s="13"/>
      <c r="D2" s="13"/>
      <c r="E2" s="13"/>
      <c r="F2" s="13"/>
      <c r="G2" s="13"/>
      <c r="H2" s="13"/>
    </row>
    <row r="4" spans="1:8">
      <c r="A4" s="15" t="s">
        <v>740</v>
      </c>
      <c r="B4" s="15"/>
      <c r="C4" s="15"/>
      <c r="D4" s="15"/>
      <c r="E4" s="15"/>
      <c r="F4" s="15"/>
      <c r="G4" s="15"/>
      <c r="H4" s="15"/>
    </row>
    <row r="5" spans="1:8">
      <c r="A5" s="15"/>
      <c r="B5" s="15"/>
      <c r="C5" s="15"/>
      <c r="D5" s="15"/>
      <c r="E5" s="15"/>
      <c r="F5" s="15"/>
      <c r="G5" s="15"/>
      <c r="H5" s="15"/>
    </row>
    <row r="7" spans="1:8">
      <c r="A7" s="19" t="s">
        <v>741</v>
      </c>
      <c r="B7" s="15"/>
      <c r="C7" s="15"/>
      <c r="D7" s="15"/>
      <c r="E7" s="15"/>
      <c r="F7" s="15"/>
      <c r="G7" s="15"/>
      <c r="H7" s="15"/>
    </row>
    <row r="8" spans="1:8">
      <c r="A8" s="15"/>
      <c r="B8" s="15"/>
      <c r="C8" s="15"/>
      <c r="D8" s="15"/>
      <c r="E8" s="15"/>
      <c r="F8" s="15"/>
      <c r="G8" s="15"/>
      <c r="H8" s="15"/>
    </row>
    <row r="10" spans="1:8">
      <c r="A10" s="13" t="s">
        <v>742</v>
      </c>
      <c r="B10" s="13"/>
      <c r="C10" s="13"/>
    </row>
    <row r="11" spans="1:8">
      <c r="A11" s="13"/>
      <c r="B11" s="13"/>
      <c r="C11" s="13"/>
    </row>
    <row r="12" spans="1:8">
      <c r="A12" s="13"/>
      <c r="B12" s="13"/>
      <c r="C12" s="13"/>
    </row>
    <row r="13" spans="1:8">
      <c r="A13" s="13"/>
      <c r="B13" s="13"/>
      <c r="C13" s="13"/>
    </row>
    <row r="14" spans="1:8">
      <c r="A14" s="13"/>
      <c r="B14" s="13"/>
      <c r="C14" s="13"/>
    </row>
    <row r="15" spans="1:8">
      <c r="A15" s="13"/>
      <c r="B15" s="13"/>
      <c r="C15" s="13"/>
    </row>
    <row r="16" spans="1:8">
      <c r="A16" s="13"/>
      <c r="B16" s="13"/>
      <c r="C16" s="13"/>
    </row>
    <row r="17" spans="1:8">
      <c r="A17" s="13"/>
      <c r="B17" s="13"/>
      <c r="C17" s="13"/>
    </row>
    <row r="18" spans="1:8">
      <c r="A18" s="5"/>
    </row>
    <row r="19" spans="1:8" ht="15" customHeight="1">
      <c r="A19" s="13" t="s">
        <v>743</v>
      </c>
      <c r="B19" s="13"/>
      <c r="C19" s="13"/>
    </row>
    <row r="20" spans="1:8">
      <c r="A20" s="13"/>
      <c r="B20" s="13"/>
      <c r="C20" s="13"/>
    </row>
    <row r="21" spans="1:8">
      <c r="A21" s="13"/>
      <c r="B21" s="13"/>
      <c r="C21" s="13"/>
    </row>
    <row r="22" spans="1:8">
      <c r="A22" s="13"/>
      <c r="B22" s="13"/>
      <c r="C22" s="13"/>
    </row>
    <row r="24" spans="1:8">
      <c r="A24" s="22" t="s">
        <v>744</v>
      </c>
      <c r="B24" s="22"/>
      <c r="C24" s="22"/>
      <c r="D24" s="22"/>
      <c r="E24" s="22"/>
      <c r="F24" s="22"/>
      <c r="G24" s="22"/>
      <c r="H24" s="22"/>
    </row>
    <row r="25" spans="1:8">
      <c r="A25" s="22"/>
      <c r="B25" s="22"/>
      <c r="C25" s="22"/>
      <c r="D25" s="22"/>
      <c r="E25" s="22"/>
      <c r="F25" s="22"/>
      <c r="G25" s="22"/>
      <c r="H25" s="22"/>
    </row>
    <row r="26" spans="1:8">
      <c r="A26" s="21"/>
    </row>
    <row r="27" spans="1:8">
      <c r="F27" s="13" t="s">
        <v>745</v>
      </c>
      <c r="G27" s="13"/>
      <c r="H27" s="13"/>
    </row>
    <row r="28" spans="1:8">
      <c r="F28" s="13"/>
      <c r="G28" s="13"/>
      <c r="H28" s="13"/>
    </row>
    <row r="29" spans="1:8">
      <c r="F29" s="13"/>
      <c r="G29" s="13"/>
      <c r="H29" s="13"/>
    </row>
    <row r="30" spans="1:8">
      <c r="F30" s="13"/>
      <c r="G30" s="13"/>
      <c r="H30" s="13"/>
    </row>
    <row r="31" spans="1:8">
      <c r="F31" s="13"/>
      <c r="G31" s="13"/>
      <c r="H31" s="13"/>
    </row>
    <row r="32" spans="1:8">
      <c r="F32" s="13"/>
      <c r="G32" s="13"/>
      <c r="H32" s="13"/>
    </row>
    <row r="33" spans="1:8">
      <c r="F33" s="5"/>
      <c r="G33" s="5"/>
      <c r="H33" s="5"/>
    </row>
    <row r="34" spans="1:8" ht="15" customHeight="1">
      <c r="F34" s="13" t="s">
        <v>746</v>
      </c>
      <c r="G34" s="13"/>
      <c r="H34" s="13"/>
    </row>
    <row r="35" spans="1:8">
      <c r="F35" s="13"/>
      <c r="G35" s="13"/>
      <c r="H35" s="13"/>
    </row>
    <row r="36" spans="1:8">
      <c r="F36" s="5"/>
      <c r="G36" s="5"/>
      <c r="H36" s="5"/>
    </row>
    <row r="37" spans="1:8">
      <c r="F37" s="5"/>
      <c r="G37" s="5"/>
      <c r="H37" s="5"/>
    </row>
    <row r="38" spans="1:8">
      <c r="F38" s="5"/>
      <c r="G38" s="5"/>
      <c r="H38" s="5"/>
    </row>
    <row r="39" spans="1:8">
      <c r="F39" s="5"/>
      <c r="G39" s="5"/>
      <c r="H39" s="5"/>
    </row>
    <row r="41" spans="1:8">
      <c r="A41" s="19" t="s">
        <v>747</v>
      </c>
      <c r="B41" s="15"/>
      <c r="C41" s="15"/>
      <c r="D41" s="15"/>
      <c r="E41" s="15"/>
      <c r="F41" s="15"/>
      <c r="G41" s="15"/>
      <c r="H41" s="15"/>
    </row>
    <row r="42" spans="1:8">
      <c r="A42" s="15"/>
      <c r="B42" s="15"/>
      <c r="C42" s="15"/>
      <c r="D42" s="15"/>
      <c r="E42" s="15"/>
      <c r="F42" s="15"/>
      <c r="G42" s="15"/>
      <c r="H42" s="15"/>
    </row>
    <row r="44" spans="1:8" ht="15" customHeight="1">
      <c r="A44" s="13" t="s">
        <v>748</v>
      </c>
      <c r="B44" s="13"/>
      <c r="C44" s="13"/>
    </row>
    <row r="45" spans="1:8">
      <c r="A45" s="13"/>
      <c r="B45" s="13"/>
      <c r="C45" s="13"/>
    </row>
    <row r="46" spans="1:8">
      <c r="A46" s="13"/>
      <c r="B46" s="13"/>
      <c r="C46" s="13"/>
    </row>
    <row r="47" spans="1:8">
      <c r="A47" s="13"/>
      <c r="B47" s="13"/>
      <c r="C47" s="13"/>
    </row>
    <row r="48" spans="1:8">
      <c r="A48" s="13"/>
      <c r="B48" s="13"/>
      <c r="C48" s="13"/>
    </row>
    <row r="49" spans="1:8" ht="15" customHeight="1">
      <c r="A49" s="5"/>
      <c r="B49" s="5"/>
      <c r="C49" s="5"/>
    </row>
    <row r="50" spans="1:8" ht="15" customHeight="1">
      <c r="A50" s="13" t="s">
        <v>749</v>
      </c>
      <c r="B50" s="13"/>
      <c r="C50" s="13"/>
    </row>
    <row r="51" spans="1:8">
      <c r="A51" s="13"/>
      <c r="B51" s="13"/>
      <c r="C51" s="13"/>
    </row>
    <row r="52" spans="1:8">
      <c r="A52" s="13"/>
      <c r="B52" s="13"/>
      <c r="C52" s="13"/>
    </row>
    <row r="53" spans="1:8">
      <c r="A53" s="13"/>
      <c r="B53" s="13"/>
      <c r="C53" s="13"/>
    </row>
    <row r="54" spans="1:8">
      <c r="A54" s="13"/>
      <c r="B54" s="13"/>
      <c r="C54" s="13"/>
    </row>
    <row r="55" spans="1:8">
      <c r="A55" s="13"/>
      <c r="B55" s="13"/>
      <c r="C55" s="13"/>
    </row>
    <row r="56" spans="1:8">
      <c r="A56" s="13"/>
      <c r="B56" s="13"/>
      <c r="C56" s="13"/>
    </row>
    <row r="57" spans="1:8">
      <c r="A57" s="13"/>
      <c r="B57" s="13"/>
      <c r="C57" s="13"/>
    </row>
    <row r="58" spans="1:8">
      <c r="A58" s="13"/>
      <c r="B58" s="13"/>
      <c r="C58" s="13"/>
    </row>
    <row r="59" spans="1:8">
      <c r="A59" s="13"/>
      <c r="B59" s="13"/>
      <c r="C59" s="13"/>
    </row>
    <row r="60" spans="1:8">
      <c r="A60" s="13"/>
      <c r="B60" s="13"/>
      <c r="C60" s="13"/>
    </row>
    <row r="64" spans="1:8">
      <c r="A64" s="17" t="s">
        <v>750</v>
      </c>
      <c r="B64" s="15"/>
      <c r="C64" s="15"/>
      <c r="D64" s="15"/>
      <c r="E64" s="15"/>
      <c r="F64" s="15"/>
      <c r="G64" s="15"/>
      <c r="H64" s="15"/>
    </row>
    <row r="65" spans="1:8">
      <c r="A65" s="15"/>
      <c r="B65" s="15"/>
      <c r="C65" s="15"/>
      <c r="D65" s="15"/>
      <c r="E65" s="15"/>
      <c r="F65" s="15"/>
      <c r="G65" s="15"/>
      <c r="H65" s="15"/>
    </row>
    <row r="67" spans="1:8">
      <c r="A67" s="13" t="s">
        <v>751</v>
      </c>
      <c r="B67" s="13"/>
      <c r="C67" s="13"/>
      <c r="D67" s="13"/>
      <c r="E67" s="13"/>
      <c r="F67" s="13"/>
      <c r="G67" s="13"/>
      <c r="H67" s="13"/>
    </row>
    <row r="68" spans="1:8">
      <c r="A68" s="13"/>
      <c r="B68" s="13"/>
      <c r="C68" s="13"/>
      <c r="D68" s="13"/>
      <c r="E68" s="13"/>
      <c r="F68" s="13"/>
      <c r="G68" s="13"/>
      <c r="H68" s="13"/>
    </row>
    <row r="69" spans="1:8">
      <c r="A69" s="13"/>
      <c r="B69" s="13"/>
      <c r="C69" s="13"/>
      <c r="D69" s="13"/>
      <c r="E69" s="13"/>
      <c r="F69" s="13"/>
      <c r="G69" s="13"/>
      <c r="H69" s="13"/>
    </row>
    <row r="70" spans="1:8">
      <c r="A70" s="13"/>
      <c r="B70" s="13"/>
      <c r="C70" s="13"/>
      <c r="D70" s="13"/>
      <c r="E70" s="13"/>
      <c r="F70" s="13"/>
      <c r="G70" s="13"/>
      <c r="H70" s="13"/>
    </row>
  </sheetData>
  <mergeCells count="13">
    <mergeCell ref="A64:H65"/>
    <mergeCell ref="A67:H70"/>
    <mergeCell ref="A44:C48"/>
    <mergeCell ref="A50:C60"/>
    <mergeCell ref="A24:H25"/>
    <mergeCell ref="F27:H32"/>
    <mergeCell ref="F34:H35"/>
    <mergeCell ref="A41:H42"/>
    <mergeCell ref="A1:H2"/>
    <mergeCell ref="A4:H5"/>
    <mergeCell ref="A7:H8"/>
    <mergeCell ref="A10:C17"/>
    <mergeCell ref="A19:C2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2026-07-12T11:48:58Z</dcterms:created>
  <dcterms:modified xsi:type="dcterms:W3CDTF">2026-07-12T17:47:37Z</dcterms:modified>
  <cp:category/>
  <cp:contentStatus/>
</cp:coreProperties>
</file>